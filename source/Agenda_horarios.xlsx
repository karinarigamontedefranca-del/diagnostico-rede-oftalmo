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aniel\Downloads\"/>
    </mc:Choice>
  </mc:AlternateContent>
  <xr:revisionPtr revIDLastSave="0" documentId="13_ncr:1_{5119CED5-32D4-471D-8B41-FD812D2FA9D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Horários" sheetId="1" r:id="rId1"/>
    <sheet name="Resumo" sheetId="2" r:id="rId2"/>
  </sheets>
  <definedNames>
    <definedName name="_xlnm._FilterDatabase" localSheetId="0" hidden="1">Horários!$A$1:$Q$43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2" l="1"/>
  <c r="C8" i="2"/>
  <c r="C7" i="2"/>
  <c r="C6" i="2"/>
  <c r="C5" i="2"/>
  <c r="C4" i="2"/>
  <c r="C3" i="2"/>
  <c r="C2" i="2"/>
  <c r="C10" i="2" s="1"/>
  <c r="P43" i="1"/>
  <c r="O43" i="1"/>
  <c r="N43" i="1"/>
  <c r="M43" i="1"/>
  <c r="P42" i="1"/>
  <c r="O42" i="1"/>
  <c r="N42" i="1"/>
  <c r="M42" i="1"/>
  <c r="P41" i="1"/>
  <c r="O41" i="1"/>
  <c r="N41" i="1"/>
  <c r="M41" i="1"/>
  <c r="P40" i="1"/>
  <c r="O40" i="1"/>
  <c r="N40" i="1"/>
  <c r="M40" i="1"/>
  <c r="P39" i="1"/>
  <c r="O39" i="1"/>
  <c r="N39" i="1"/>
  <c r="M39" i="1"/>
  <c r="P38" i="1"/>
  <c r="O38" i="1"/>
  <c r="N38" i="1"/>
  <c r="M38" i="1"/>
  <c r="P37" i="1"/>
  <c r="O37" i="1"/>
  <c r="N37" i="1"/>
  <c r="M37" i="1"/>
  <c r="P36" i="1"/>
  <c r="O36" i="1"/>
  <c r="N36" i="1"/>
  <c r="M36" i="1"/>
  <c r="P35" i="1"/>
  <c r="O35" i="1"/>
  <c r="N35" i="1"/>
  <c r="M35" i="1"/>
  <c r="P34" i="1"/>
  <c r="O34" i="1"/>
  <c r="N34" i="1"/>
  <c r="M34" i="1"/>
  <c r="P33" i="1"/>
  <c r="O33" i="1"/>
  <c r="N33" i="1"/>
  <c r="M33" i="1"/>
  <c r="P32" i="1"/>
  <c r="O32" i="1"/>
  <c r="N32" i="1"/>
  <c r="M32" i="1"/>
  <c r="P31" i="1"/>
  <c r="O31" i="1"/>
  <c r="N31" i="1"/>
  <c r="M31" i="1"/>
  <c r="P30" i="1"/>
  <c r="O30" i="1"/>
  <c r="N30" i="1"/>
  <c r="M30" i="1"/>
  <c r="P29" i="1"/>
  <c r="O29" i="1"/>
  <c r="N29" i="1"/>
  <c r="M29" i="1"/>
  <c r="P28" i="1"/>
  <c r="O28" i="1"/>
  <c r="N28" i="1"/>
  <c r="M28" i="1"/>
  <c r="P27" i="1"/>
  <c r="O27" i="1"/>
  <c r="N27" i="1"/>
  <c r="M27" i="1"/>
  <c r="P26" i="1"/>
  <c r="O26" i="1"/>
  <c r="N26" i="1"/>
  <c r="M26" i="1"/>
  <c r="P25" i="1"/>
  <c r="O25" i="1"/>
  <c r="N25" i="1"/>
  <c r="M25" i="1"/>
  <c r="P24" i="1"/>
  <c r="O24" i="1"/>
  <c r="N24" i="1"/>
  <c r="M24" i="1"/>
  <c r="P23" i="1"/>
  <c r="O23" i="1"/>
  <c r="N23" i="1"/>
  <c r="M23" i="1"/>
  <c r="P22" i="1"/>
  <c r="O22" i="1"/>
  <c r="N22" i="1"/>
  <c r="M22" i="1"/>
  <c r="P21" i="1"/>
  <c r="O21" i="1"/>
  <c r="N21" i="1"/>
  <c r="M21" i="1"/>
  <c r="P20" i="1"/>
  <c r="O20" i="1"/>
  <c r="N20" i="1"/>
  <c r="M20" i="1"/>
  <c r="P19" i="1"/>
  <c r="O19" i="1"/>
  <c r="N19" i="1"/>
  <c r="M19" i="1"/>
  <c r="P18" i="1"/>
  <c r="O18" i="1"/>
  <c r="N18" i="1"/>
  <c r="M18" i="1"/>
  <c r="P17" i="1"/>
  <c r="O17" i="1"/>
  <c r="N17" i="1"/>
  <c r="M17" i="1"/>
  <c r="P16" i="1"/>
  <c r="O16" i="1"/>
  <c r="N16" i="1"/>
  <c r="M16" i="1"/>
  <c r="P15" i="1"/>
  <c r="O15" i="1"/>
  <c r="N15" i="1"/>
  <c r="M15" i="1"/>
  <c r="P14" i="1"/>
  <c r="O14" i="1"/>
  <c r="N14" i="1"/>
  <c r="M14" i="1"/>
  <c r="P13" i="1"/>
  <c r="O13" i="1"/>
  <c r="N13" i="1"/>
  <c r="M13" i="1"/>
  <c r="P12" i="1"/>
  <c r="O12" i="1"/>
  <c r="N12" i="1"/>
  <c r="M12" i="1"/>
  <c r="P11" i="1"/>
  <c r="O11" i="1"/>
  <c r="N11" i="1"/>
  <c r="M11" i="1"/>
  <c r="P10" i="1"/>
  <c r="O10" i="1"/>
  <c r="N10" i="1"/>
  <c r="M10" i="1"/>
  <c r="P9" i="1"/>
  <c r="O9" i="1"/>
  <c r="N9" i="1"/>
  <c r="M9" i="1"/>
  <c r="P8" i="1"/>
  <c r="O8" i="1"/>
  <c r="N8" i="1"/>
  <c r="M8" i="1"/>
  <c r="P7" i="1"/>
  <c r="O7" i="1"/>
  <c r="N7" i="1"/>
  <c r="M7" i="1"/>
  <c r="P6" i="1"/>
  <c r="O6" i="1"/>
  <c r="N6" i="1"/>
  <c r="M6" i="1"/>
  <c r="P5" i="1"/>
  <c r="O5" i="1"/>
  <c r="N5" i="1"/>
  <c r="M5" i="1"/>
  <c r="P4" i="1"/>
  <c r="O4" i="1"/>
  <c r="N4" i="1"/>
  <c r="M4" i="1"/>
  <c r="P3" i="1"/>
  <c r="O3" i="1"/>
  <c r="N3" i="1"/>
  <c r="M3" i="1"/>
  <c r="P2" i="1"/>
  <c r="O2" i="1"/>
  <c r="N2" i="1"/>
  <c r="M2" i="1"/>
</calcChain>
</file>

<file path=xl/sharedStrings.xml><?xml version="1.0" encoding="utf-8"?>
<sst xmlns="http://schemas.openxmlformats.org/spreadsheetml/2006/main" count="141" uniqueCount="45">
  <si>
    <t>Data</t>
  </si>
  <si>
    <t>Médico</t>
  </si>
  <si>
    <t>Nº</t>
  </si>
  <si>
    <t>Chegada</t>
  </si>
  <si>
    <t>Campo Entrada</t>
  </si>
  <si>
    <t>Campo Saída</t>
  </si>
  <si>
    <t>Ret Entrada</t>
  </si>
  <si>
    <t>Ret Saída</t>
  </si>
  <si>
    <t>Paqui Entrada</t>
  </si>
  <si>
    <t>Paqui Saída</t>
  </si>
  <si>
    <t>OCT Entrada</t>
  </si>
  <si>
    <t>OCT Saída</t>
  </si>
  <si>
    <t>Campo (min)</t>
  </si>
  <si>
    <t>Ret (min)</t>
  </si>
  <si>
    <t>Paqui (min)</t>
  </si>
  <si>
    <t>OCT (min)</t>
  </si>
  <si>
    <t>Observação</t>
  </si>
  <si>
    <t>01/10/2026</t>
  </si>
  <si>
    <t>114 - Erica de Abreu Borges</t>
  </si>
  <si>
    <t>Conferir Paqui/OCT</t>
  </si>
  <si>
    <t>Conferir chegada (07:15 ou 07:13)</t>
  </si>
  <si>
    <t>Após Ret ilegível/riscado</t>
  </si>
  <si>
    <t>188 - Emilio Rintaro Suzuki Junior</t>
  </si>
  <si>
    <t>Conferir fim do OCT</t>
  </si>
  <si>
    <t>Ret e OCT parecem trocados</t>
  </si>
  <si>
    <t>951 - Roberto Marcio Batista Teixeira</t>
  </si>
  <si>
    <t>Chegada parece 14:20 no papel</t>
  </si>
  <si>
    <t>Conferir OCT</t>
  </si>
  <si>
    <t>8 - Maria Elenir Ferreira Peret</t>
  </si>
  <si>
    <t>Conferir fim do OCT (09:17?) e Paqui</t>
  </si>
  <si>
    <t>Conferir início do Ret</t>
  </si>
  <si>
    <t>301 - Renata Dias Trindade</t>
  </si>
  <si>
    <t>02/10/2026</t>
  </si>
  <si>
    <t>Havia um traço após o Ret (Paqui ou OCT?)</t>
  </si>
  <si>
    <t>Traço após o Ret</t>
  </si>
  <si>
    <t>Conferir fim do Campo</t>
  </si>
  <si>
    <t>OCT anterior ao Ret: conferir</t>
  </si>
  <si>
    <t>101 - Clarice Freire Dayrell de Souza</t>
  </si>
  <si>
    <t>Conferir Ret/Paqui</t>
  </si>
  <si>
    <t>Associação com a linha incerta</t>
  </si>
  <si>
    <t>Associação com a linha incerta; OCT antes do Ret</t>
  </si>
  <si>
    <t>41 - Eduardo de Castro Miranda Diniz</t>
  </si>
  <si>
    <t>Pacientes</t>
  </si>
  <si>
    <t>Total</t>
  </si>
  <si>
    <t>Fonte: transcrição manual das anotações em vermelho das folhas fotografadas. '–' (célula vazia) = sem anotação ou ilegível. Durações calculadas por fórmula (saída − entrada). Linhas com observação amarela devem ser conferidas no papel.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</si>
</sst>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i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20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"/>
  <sheetViews>
    <sheetView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L11" sqref="L11"/>
    </sheetView>
  </sheetViews>
  <sheetFormatPr defaultColWidth="8.6640625" defaultRowHeight="14.4" x14ac:dyDescent="0.3"/>
  <cols>
    <col min="1" max="1" width="12" customWidth="1"/>
    <col min="2" max="2" width="36" customWidth="1"/>
    <col min="3" max="3" width="5" customWidth="1"/>
    <col min="4" max="13" width="10" customWidth="1"/>
    <col min="14" max="14" width="9" customWidth="1"/>
    <col min="15" max="15" width="10" customWidth="1"/>
    <col min="16" max="16" width="9" customWidth="1"/>
    <col min="17" max="17" width="48" customWidth="1"/>
  </cols>
  <sheetData>
    <row r="1" spans="1:17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s="3" t="s">
        <v>18</v>
      </c>
      <c r="C2" s="2">
        <v>1</v>
      </c>
      <c r="D2" s="4">
        <v>0.27430555555555602</v>
      </c>
      <c r="E2" s="4">
        <v>0.28333333333333299</v>
      </c>
      <c r="F2" s="4">
        <v>0.29027777777777802</v>
      </c>
      <c r="G2" s="4">
        <v>0.34583333333333299</v>
      </c>
      <c r="H2" s="4">
        <v>0.34722222222222199</v>
      </c>
      <c r="I2" s="4"/>
      <c r="J2" s="4"/>
      <c r="K2" s="4">
        <v>0.34722222222222199</v>
      </c>
      <c r="L2" s="4">
        <v>0.35277777777777802</v>
      </c>
      <c r="M2" s="5">
        <f t="shared" ref="M2:M43" si="0">IF(AND(E2&lt;&gt;"",F2&lt;&gt;""),ROUND((F2-E2)*1440,0),"")</f>
        <v>10</v>
      </c>
      <c r="N2" s="5">
        <f t="shared" ref="N2:N43" si="1">IF(AND(G2&lt;&gt;"",H2&lt;&gt;""),ROUND((H2-G2)*1440,0),"")</f>
        <v>2</v>
      </c>
      <c r="O2" s="5" t="str">
        <f t="shared" ref="O2:O43" si="2">IF(AND(I2&lt;&gt;"",J2&lt;&gt;""),ROUND((J2-I2)*1440,0),"")</f>
        <v/>
      </c>
      <c r="P2" s="5">
        <f t="shared" ref="P2:P43" si="3">IF(AND(K2&lt;&gt;"",L2&lt;&gt;""),ROUND((L2-K2)*1440,0),"")</f>
        <v>8</v>
      </c>
      <c r="Q2" s="3"/>
    </row>
    <row r="3" spans="1:17" x14ac:dyDescent="0.3">
      <c r="A3" s="2" t="s">
        <v>17</v>
      </c>
      <c r="B3" s="3" t="s">
        <v>18</v>
      </c>
      <c r="C3" s="2">
        <v>2</v>
      </c>
      <c r="D3" s="4">
        <v>0.28125</v>
      </c>
      <c r="E3" s="4">
        <v>0.36736111111111103</v>
      </c>
      <c r="F3" s="4">
        <v>0.37361111111111101</v>
      </c>
      <c r="G3" s="4"/>
      <c r="H3" s="4"/>
      <c r="I3" s="4"/>
      <c r="J3" s="4"/>
      <c r="K3" s="4">
        <v>0.438194444444444</v>
      </c>
      <c r="L3" s="4">
        <v>0.44305555555555598</v>
      </c>
      <c r="M3" s="5">
        <f t="shared" si="0"/>
        <v>9</v>
      </c>
      <c r="N3" s="5" t="str">
        <f t="shared" si="1"/>
        <v/>
      </c>
      <c r="O3" s="5" t="str">
        <f t="shared" si="2"/>
        <v/>
      </c>
      <c r="P3" s="5">
        <f t="shared" si="3"/>
        <v>7</v>
      </c>
      <c r="Q3" s="3"/>
    </row>
    <row r="4" spans="1:17" x14ac:dyDescent="0.3">
      <c r="A4" s="2" t="s">
        <v>17</v>
      </c>
      <c r="B4" s="3" t="s">
        <v>18</v>
      </c>
      <c r="C4" s="2">
        <v>3</v>
      </c>
      <c r="D4" s="4">
        <v>0.28472222222222199</v>
      </c>
      <c r="E4" s="4">
        <v>0.38819444444444501</v>
      </c>
      <c r="F4" s="4">
        <v>0.39444444444444399</v>
      </c>
      <c r="G4" s="4">
        <v>0.42708333333333298</v>
      </c>
      <c r="H4" s="4">
        <v>0.42916666666666697</v>
      </c>
      <c r="I4" s="4">
        <v>0.42916666666666697</v>
      </c>
      <c r="J4" s="4">
        <v>0.43055555555555602</v>
      </c>
      <c r="K4" s="4">
        <v>0.43055555555555602</v>
      </c>
      <c r="L4" s="4">
        <v>0.43472222222222201</v>
      </c>
      <c r="M4" s="5">
        <f t="shared" si="0"/>
        <v>9</v>
      </c>
      <c r="N4" s="5">
        <f t="shared" si="1"/>
        <v>3</v>
      </c>
      <c r="O4" s="5">
        <f t="shared" si="2"/>
        <v>2</v>
      </c>
      <c r="P4" s="5">
        <f t="shared" si="3"/>
        <v>6</v>
      </c>
      <c r="Q4" s="3"/>
    </row>
    <row r="5" spans="1:17" x14ac:dyDescent="0.3">
      <c r="A5" s="2" t="s">
        <v>17</v>
      </c>
      <c r="B5" s="3" t="s">
        <v>18</v>
      </c>
      <c r="C5" s="2">
        <v>4</v>
      </c>
      <c r="D5" s="4">
        <v>0.27291666666666697</v>
      </c>
      <c r="E5" s="4">
        <v>0.34236111111111101</v>
      </c>
      <c r="F5" s="4">
        <v>0.34652777777777799</v>
      </c>
      <c r="G5" s="4"/>
      <c r="H5" s="4"/>
      <c r="I5" s="4">
        <v>0.40625</v>
      </c>
      <c r="J5" s="4">
        <v>0.40625</v>
      </c>
      <c r="K5" s="4">
        <v>0.406944444444444</v>
      </c>
      <c r="L5" s="4">
        <v>0.40972222222222199</v>
      </c>
      <c r="M5" s="5">
        <f t="shared" si="0"/>
        <v>6</v>
      </c>
      <c r="N5" s="5" t="str">
        <f t="shared" si="1"/>
        <v/>
      </c>
      <c r="O5" s="5">
        <f t="shared" si="2"/>
        <v>0</v>
      </c>
      <c r="P5" s="5">
        <f t="shared" si="3"/>
        <v>4</v>
      </c>
      <c r="Q5" s="6" t="s">
        <v>19</v>
      </c>
    </row>
    <row r="6" spans="1:17" x14ac:dyDescent="0.3">
      <c r="A6" s="2" t="s">
        <v>17</v>
      </c>
      <c r="B6" s="3" t="s">
        <v>18</v>
      </c>
      <c r="C6" s="2">
        <v>5</v>
      </c>
      <c r="D6" s="4">
        <v>0.30208333333333298</v>
      </c>
      <c r="E6" s="4">
        <v>0.42638888888888898</v>
      </c>
      <c r="F6" s="4">
        <v>0.43611111111111101</v>
      </c>
      <c r="G6" s="4">
        <v>0.44513888888888886</v>
      </c>
      <c r="H6" s="4">
        <v>0.44652777777777802</v>
      </c>
      <c r="I6" s="4">
        <v>0.44652777777777802</v>
      </c>
      <c r="J6" s="4">
        <v>0.44722222222222202</v>
      </c>
      <c r="K6" s="4">
        <v>0.44722222222222202</v>
      </c>
      <c r="L6" s="4">
        <v>0.45069444444444501</v>
      </c>
      <c r="M6" s="5">
        <f t="shared" si="0"/>
        <v>14</v>
      </c>
      <c r="N6" s="5">
        <f t="shared" si="1"/>
        <v>2</v>
      </c>
      <c r="O6" s="5">
        <f t="shared" si="2"/>
        <v>1</v>
      </c>
      <c r="P6" s="5">
        <f t="shared" si="3"/>
        <v>5</v>
      </c>
      <c r="Q6" s="6" t="s">
        <v>20</v>
      </c>
    </row>
    <row r="7" spans="1:17" x14ac:dyDescent="0.3">
      <c r="A7" s="2" t="s">
        <v>17</v>
      </c>
      <c r="B7" s="3" t="s">
        <v>18</v>
      </c>
      <c r="C7" s="2">
        <v>6</v>
      </c>
      <c r="D7" s="4">
        <v>0.29513888888888901</v>
      </c>
      <c r="E7" s="4">
        <v>0.41319444444444398</v>
      </c>
      <c r="F7" s="4">
        <v>0.420833333333333</v>
      </c>
      <c r="G7" s="4">
        <v>0.436805555555556</v>
      </c>
      <c r="H7" s="4">
        <v>0.43888888888888899</v>
      </c>
      <c r="I7" s="4"/>
      <c r="J7" s="4"/>
      <c r="K7" s="4"/>
      <c r="L7" s="4"/>
      <c r="M7" s="5">
        <f t="shared" si="0"/>
        <v>11</v>
      </c>
      <c r="N7" s="5">
        <f t="shared" si="1"/>
        <v>3</v>
      </c>
      <c r="O7" s="5" t="str">
        <f t="shared" si="2"/>
        <v/>
      </c>
      <c r="P7" s="5" t="str">
        <f t="shared" si="3"/>
        <v/>
      </c>
      <c r="Q7" s="6" t="s">
        <v>21</v>
      </c>
    </row>
    <row r="8" spans="1:17" x14ac:dyDescent="0.3">
      <c r="A8" s="2" t="s">
        <v>17</v>
      </c>
      <c r="B8" s="3" t="s">
        <v>18</v>
      </c>
      <c r="C8" s="2">
        <v>7</v>
      </c>
      <c r="D8" s="4">
        <v>0.27430555555555602</v>
      </c>
      <c r="E8" s="4">
        <v>0.30208333333333298</v>
      </c>
      <c r="F8" s="4">
        <v>0.31111111111111101</v>
      </c>
      <c r="G8" s="4">
        <v>0.38124999999999998</v>
      </c>
      <c r="H8" s="4">
        <v>0.38333333333333303</v>
      </c>
      <c r="I8" s="4"/>
      <c r="J8" s="4"/>
      <c r="K8" s="4"/>
      <c r="L8" s="4"/>
      <c r="M8" s="5">
        <f t="shared" si="0"/>
        <v>13</v>
      </c>
      <c r="N8" s="5">
        <f t="shared" si="1"/>
        <v>3</v>
      </c>
      <c r="O8" s="5" t="str">
        <f t="shared" si="2"/>
        <v/>
      </c>
      <c r="P8" s="5" t="str">
        <f t="shared" si="3"/>
        <v/>
      </c>
      <c r="Q8" s="6" t="s">
        <v>21</v>
      </c>
    </row>
    <row r="9" spans="1:17" x14ac:dyDescent="0.3">
      <c r="A9" s="2" t="s">
        <v>17</v>
      </c>
      <c r="B9" s="3" t="s">
        <v>22</v>
      </c>
      <c r="C9" s="2">
        <v>1</v>
      </c>
      <c r="D9" s="4">
        <v>0.26388888888888901</v>
      </c>
      <c r="E9" s="4">
        <v>0.27569444444444502</v>
      </c>
      <c r="F9" s="4">
        <v>0.27916666666666701</v>
      </c>
      <c r="G9" s="4">
        <v>0.29375000000000001</v>
      </c>
      <c r="H9" s="4">
        <v>0.29513888888888901</v>
      </c>
      <c r="I9" s="4"/>
      <c r="J9" s="4"/>
      <c r="K9" s="4">
        <v>0.296527777777778</v>
      </c>
      <c r="L9" s="4">
        <v>0.29861111111111099</v>
      </c>
      <c r="M9" s="5">
        <f t="shared" si="0"/>
        <v>5</v>
      </c>
      <c r="N9" s="5">
        <f t="shared" si="1"/>
        <v>2</v>
      </c>
      <c r="O9" s="5" t="str">
        <f t="shared" si="2"/>
        <v/>
      </c>
      <c r="P9" s="5">
        <f t="shared" si="3"/>
        <v>3</v>
      </c>
      <c r="Q9" s="6" t="s">
        <v>23</v>
      </c>
    </row>
    <row r="10" spans="1:17" x14ac:dyDescent="0.3">
      <c r="A10" s="2" t="s">
        <v>17</v>
      </c>
      <c r="B10" s="3" t="s">
        <v>22</v>
      </c>
      <c r="C10" s="2">
        <v>2</v>
      </c>
      <c r="D10" s="4">
        <v>0.27013888888888898</v>
      </c>
      <c r="E10" s="4">
        <v>0.35</v>
      </c>
      <c r="F10" s="4">
        <v>0.35625000000000001</v>
      </c>
      <c r="G10" s="4">
        <v>0.39583333333333298</v>
      </c>
      <c r="H10" s="4">
        <v>0.39791666666666697</v>
      </c>
      <c r="I10" s="4">
        <v>0.39791666666666697</v>
      </c>
      <c r="J10" s="4">
        <v>0.39861111111111103</v>
      </c>
      <c r="K10" s="4">
        <v>0.39861111111111103</v>
      </c>
      <c r="L10" s="4">
        <v>0.40208333333333302</v>
      </c>
      <c r="M10" s="5">
        <f t="shared" si="0"/>
        <v>9</v>
      </c>
      <c r="N10" s="5">
        <f t="shared" si="1"/>
        <v>3</v>
      </c>
      <c r="O10" s="5">
        <f t="shared" si="2"/>
        <v>1</v>
      </c>
      <c r="P10" s="5">
        <f t="shared" si="3"/>
        <v>5</v>
      </c>
      <c r="Q10" s="3"/>
    </row>
    <row r="11" spans="1:17" x14ac:dyDescent="0.3">
      <c r="A11" s="2" t="s">
        <v>17</v>
      </c>
      <c r="B11" s="3" t="s">
        <v>22</v>
      </c>
      <c r="C11" s="2">
        <v>3</v>
      </c>
      <c r="D11" s="4">
        <v>0.265277777777778</v>
      </c>
      <c r="E11" s="4">
        <v>0.29097222222222202</v>
      </c>
      <c r="F11" s="4">
        <v>0.30208333333333298</v>
      </c>
      <c r="G11" s="4">
        <v>0.31944444444444398</v>
      </c>
      <c r="H11" s="4">
        <v>0.32083333333333303</v>
      </c>
      <c r="I11" s="4"/>
      <c r="J11" s="4"/>
      <c r="K11" s="4">
        <v>0.32083333333333303</v>
      </c>
      <c r="L11" s="4">
        <v>0.327083333333333</v>
      </c>
      <c r="M11" s="5">
        <f t="shared" si="0"/>
        <v>16</v>
      </c>
      <c r="N11" s="5">
        <f t="shared" si="1"/>
        <v>2</v>
      </c>
      <c r="O11" s="5" t="str">
        <f t="shared" si="2"/>
        <v/>
      </c>
      <c r="P11" s="5">
        <f t="shared" si="3"/>
        <v>9</v>
      </c>
      <c r="Q11" s="3"/>
    </row>
    <row r="12" spans="1:17" x14ac:dyDescent="0.3">
      <c r="A12" s="2" t="s">
        <v>17</v>
      </c>
      <c r="B12" s="3" t="s">
        <v>22</v>
      </c>
      <c r="C12" s="2">
        <v>4</v>
      </c>
      <c r="D12" s="4">
        <v>0.26319444444444501</v>
      </c>
      <c r="E12" s="4">
        <v>0.265277777777778</v>
      </c>
      <c r="F12" s="4">
        <v>0.27083333333333298</v>
      </c>
      <c r="G12" s="4">
        <v>0.28611111111111098</v>
      </c>
      <c r="H12" s="4">
        <v>0.28819444444444398</v>
      </c>
      <c r="I12" s="4"/>
      <c r="J12" s="4"/>
      <c r="K12" s="4">
        <v>0.28888888888888897</v>
      </c>
      <c r="L12" s="4">
        <v>0.29166666666666702</v>
      </c>
      <c r="M12" s="5">
        <f t="shared" si="0"/>
        <v>8</v>
      </c>
      <c r="N12" s="5">
        <f t="shared" si="1"/>
        <v>3</v>
      </c>
      <c r="O12" s="5" t="str">
        <f t="shared" si="2"/>
        <v/>
      </c>
      <c r="P12" s="5">
        <f t="shared" si="3"/>
        <v>4</v>
      </c>
      <c r="Q12" s="3"/>
    </row>
    <row r="13" spans="1:17" x14ac:dyDescent="0.3">
      <c r="A13" s="2" t="s">
        <v>17</v>
      </c>
      <c r="B13" s="3" t="s">
        <v>22</v>
      </c>
      <c r="C13" s="2">
        <v>5</v>
      </c>
      <c r="D13" s="4">
        <v>0.27222222222222198</v>
      </c>
      <c r="E13" s="4">
        <v>0.40069444444444502</v>
      </c>
      <c r="F13" s="4">
        <v>0.40625</v>
      </c>
      <c r="G13" s="4">
        <v>0.43888888888888899</v>
      </c>
      <c r="H13" s="4">
        <v>0.44166666666666698</v>
      </c>
      <c r="I13" s="4"/>
      <c r="J13" s="4"/>
      <c r="K13" s="4">
        <v>0.43472222222222201</v>
      </c>
      <c r="L13" s="4">
        <v>0.43888888888888899</v>
      </c>
      <c r="M13" s="5">
        <f t="shared" si="0"/>
        <v>8</v>
      </c>
      <c r="N13" s="5">
        <f t="shared" si="1"/>
        <v>4</v>
      </c>
      <c r="O13" s="5" t="str">
        <f t="shared" si="2"/>
        <v/>
      </c>
      <c r="P13" s="5">
        <f t="shared" si="3"/>
        <v>6</v>
      </c>
      <c r="Q13" s="6" t="s">
        <v>24</v>
      </c>
    </row>
    <row r="14" spans="1:17" x14ac:dyDescent="0.3">
      <c r="A14" s="2" t="s">
        <v>17</v>
      </c>
      <c r="B14" s="3" t="s">
        <v>22</v>
      </c>
      <c r="C14" s="2">
        <v>6</v>
      </c>
      <c r="D14" s="4">
        <v>0.32222222222222202</v>
      </c>
      <c r="E14" s="4">
        <v>0.38055555555555598</v>
      </c>
      <c r="F14" s="4">
        <v>0.38541666666666702</v>
      </c>
      <c r="G14" s="4"/>
      <c r="H14" s="4"/>
      <c r="I14" s="4"/>
      <c r="J14" s="4"/>
      <c r="K14" s="4"/>
      <c r="L14" s="4"/>
      <c r="M14" s="5">
        <f t="shared" si="0"/>
        <v>7</v>
      </c>
      <c r="N14" s="5" t="str">
        <f t="shared" si="1"/>
        <v/>
      </c>
      <c r="O14" s="5" t="str">
        <f t="shared" si="2"/>
        <v/>
      </c>
      <c r="P14" s="5" t="str">
        <f t="shared" si="3"/>
        <v/>
      </c>
      <c r="Q14" s="3"/>
    </row>
    <row r="15" spans="1:17" x14ac:dyDescent="0.3">
      <c r="A15" s="2" t="s">
        <v>17</v>
      </c>
      <c r="B15" s="3" t="s">
        <v>22</v>
      </c>
      <c r="C15" s="2">
        <v>7</v>
      </c>
      <c r="D15" s="4">
        <v>0.26736111111111099</v>
      </c>
      <c r="E15" s="4">
        <v>0.32291666666666702</v>
      </c>
      <c r="F15" s="4">
        <v>0.33194444444444399</v>
      </c>
      <c r="G15" s="4">
        <v>0.36875000000000002</v>
      </c>
      <c r="H15" s="4">
        <v>0.37152777777777801</v>
      </c>
      <c r="I15" s="4"/>
      <c r="J15" s="4"/>
      <c r="K15" s="4">
        <v>0.37152777777777801</v>
      </c>
      <c r="L15" s="4">
        <v>0.37638888888888899</v>
      </c>
      <c r="M15" s="5">
        <f t="shared" si="0"/>
        <v>13</v>
      </c>
      <c r="N15" s="5">
        <f t="shared" si="1"/>
        <v>4</v>
      </c>
      <c r="O15" s="5" t="str">
        <f t="shared" si="2"/>
        <v/>
      </c>
      <c r="P15" s="5">
        <f t="shared" si="3"/>
        <v>7</v>
      </c>
      <c r="Q15" s="3"/>
    </row>
    <row r="16" spans="1:17" x14ac:dyDescent="0.3">
      <c r="A16" s="2" t="s">
        <v>17</v>
      </c>
      <c r="B16" s="3" t="s">
        <v>25</v>
      </c>
      <c r="C16" s="2">
        <v>1</v>
      </c>
      <c r="D16" s="4">
        <v>0.51388888888888895</v>
      </c>
      <c r="E16" s="4">
        <v>0.56458333333333299</v>
      </c>
      <c r="F16" s="4">
        <v>0.56944444444444398</v>
      </c>
      <c r="G16" s="4">
        <v>0.60972222222222205</v>
      </c>
      <c r="H16" s="4">
        <v>0.61111111111111105</v>
      </c>
      <c r="I16" s="4"/>
      <c r="J16" s="4"/>
      <c r="K16" s="4">
        <v>0.61111111111111105</v>
      </c>
      <c r="L16" s="4">
        <v>0.61527777777777803</v>
      </c>
      <c r="M16" s="5">
        <f t="shared" si="0"/>
        <v>7</v>
      </c>
      <c r="N16" s="5">
        <f t="shared" si="1"/>
        <v>2</v>
      </c>
      <c r="O16" s="5" t="str">
        <f t="shared" si="2"/>
        <v/>
      </c>
      <c r="P16" s="5">
        <f t="shared" si="3"/>
        <v>6</v>
      </c>
      <c r="Q16" s="6" t="s">
        <v>26</v>
      </c>
    </row>
    <row r="17" spans="1:17" x14ac:dyDescent="0.3">
      <c r="A17" s="2" t="s">
        <v>17</v>
      </c>
      <c r="B17" s="3" t="s">
        <v>25</v>
      </c>
      <c r="C17" s="2">
        <v>2</v>
      </c>
      <c r="D17" s="4">
        <v>0.52638888888888902</v>
      </c>
      <c r="E17" s="4">
        <v>0.53541666666666698</v>
      </c>
      <c r="F17" s="4">
        <v>0.54583333333333295</v>
      </c>
      <c r="G17" s="4">
        <v>0.56666666666666698</v>
      </c>
      <c r="H17" s="4">
        <v>0.56944444444444398</v>
      </c>
      <c r="I17" s="4"/>
      <c r="J17" s="4"/>
      <c r="K17" s="4">
        <v>0.5625</v>
      </c>
      <c r="L17" s="4">
        <v>0.56666666666666698</v>
      </c>
      <c r="M17" s="5">
        <f t="shared" si="0"/>
        <v>15</v>
      </c>
      <c r="N17" s="5">
        <f t="shared" si="1"/>
        <v>4</v>
      </c>
      <c r="O17" s="5" t="str">
        <f t="shared" si="2"/>
        <v/>
      </c>
      <c r="P17" s="5">
        <f t="shared" si="3"/>
        <v>6</v>
      </c>
      <c r="Q17" s="6" t="s">
        <v>27</v>
      </c>
    </row>
    <row r="18" spans="1:17" x14ac:dyDescent="0.3">
      <c r="A18" s="2" t="s">
        <v>17</v>
      </c>
      <c r="B18" s="3" t="s">
        <v>25</v>
      </c>
      <c r="C18" s="2">
        <v>3</v>
      </c>
      <c r="D18" s="4">
        <v>0.50694444444444398</v>
      </c>
      <c r="E18" s="4">
        <v>0.52083333333333304</v>
      </c>
      <c r="F18" s="4">
        <v>0.52847222222222223</v>
      </c>
      <c r="G18" s="4">
        <v>0.54791666666666705</v>
      </c>
      <c r="H18" s="4">
        <v>0.54930555555555605</v>
      </c>
      <c r="I18" s="4"/>
      <c r="J18" s="4"/>
      <c r="K18" s="4">
        <v>0.54374999999999996</v>
      </c>
      <c r="L18" s="4">
        <v>0.54722222222222205</v>
      </c>
      <c r="M18" s="5">
        <f t="shared" si="0"/>
        <v>11</v>
      </c>
      <c r="N18" s="5">
        <f t="shared" si="1"/>
        <v>2</v>
      </c>
      <c r="O18" s="5" t="str">
        <f t="shared" si="2"/>
        <v/>
      </c>
      <c r="P18" s="5">
        <f t="shared" si="3"/>
        <v>5</v>
      </c>
      <c r="Q18" s="6" t="s">
        <v>27</v>
      </c>
    </row>
    <row r="19" spans="1:17" x14ac:dyDescent="0.3">
      <c r="A19" s="2" t="s">
        <v>17</v>
      </c>
      <c r="B19" s="3" t="s">
        <v>25</v>
      </c>
      <c r="C19" s="2">
        <v>4</v>
      </c>
      <c r="D19" s="4">
        <v>0.60624999999999996</v>
      </c>
      <c r="E19" s="4">
        <v>0.62986111111111098</v>
      </c>
      <c r="F19" s="4">
        <v>0.63541666666666696</v>
      </c>
      <c r="G19" s="4">
        <v>0.66111111111111098</v>
      </c>
      <c r="H19" s="4">
        <v>0.66249999999999998</v>
      </c>
      <c r="I19" s="4"/>
      <c r="J19" s="4"/>
      <c r="K19" s="4">
        <v>0.66319444444444398</v>
      </c>
      <c r="L19" s="4">
        <v>0.66527777777777797</v>
      </c>
      <c r="M19" s="5">
        <f t="shared" si="0"/>
        <v>8</v>
      </c>
      <c r="N19" s="5">
        <f t="shared" si="1"/>
        <v>2</v>
      </c>
      <c r="O19" s="5" t="str">
        <f t="shared" si="2"/>
        <v/>
      </c>
      <c r="P19" s="5">
        <f t="shared" si="3"/>
        <v>3</v>
      </c>
      <c r="Q19" s="3"/>
    </row>
    <row r="20" spans="1:17" x14ac:dyDescent="0.3">
      <c r="A20" s="2" t="s">
        <v>17</v>
      </c>
      <c r="B20" s="3" t="s">
        <v>28</v>
      </c>
      <c r="C20" s="2">
        <v>1</v>
      </c>
      <c r="D20" s="4">
        <v>0.295833333333333</v>
      </c>
      <c r="E20" s="4">
        <v>0.31527777777777799</v>
      </c>
      <c r="F20" s="4">
        <v>0.32083333333333303</v>
      </c>
      <c r="G20" s="4">
        <v>0.33402777777777776</v>
      </c>
      <c r="H20" s="4">
        <v>0.33611111111111103</v>
      </c>
      <c r="I20" s="4"/>
      <c r="J20" s="4"/>
      <c r="K20" s="4">
        <v>0.33819444444444502</v>
      </c>
      <c r="L20" s="4">
        <v>0.34166666666666701</v>
      </c>
      <c r="M20" s="5">
        <f t="shared" si="0"/>
        <v>8</v>
      </c>
      <c r="N20" s="5">
        <f t="shared" si="1"/>
        <v>3</v>
      </c>
      <c r="O20" s="5" t="str">
        <f t="shared" si="2"/>
        <v/>
      </c>
      <c r="P20" s="5">
        <f t="shared" si="3"/>
        <v>5</v>
      </c>
      <c r="Q20" s="3"/>
    </row>
    <row r="21" spans="1:17" x14ac:dyDescent="0.3">
      <c r="A21" s="2" t="s">
        <v>17</v>
      </c>
      <c r="B21" s="3" t="s">
        <v>28</v>
      </c>
      <c r="C21" s="2">
        <v>2</v>
      </c>
      <c r="D21" s="4">
        <v>0.28749999999999998</v>
      </c>
      <c r="E21" s="4">
        <v>0.358333333333333</v>
      </c>
      <c r="F21" s="4">
        <v>0.36388888888888898</v>
      </c>
      <c r="G21" s="4">
        <v>0.38750000000000001</v>
      </c>
      <c r="H21" s="4">
        <v>0.38888888888888901</v>
      </c>
      <c r="I21" s="4">
        <v>0.38888888888888901</v>
      </c>
      <c r="J21" s="4">
        <v>0.38958333333333334</v>
      </c>
      <c r="K21" s="4">
        <v>0.38333333333333336</v>
      </c>
      <c r="L21" s="4">
        <v>0.38680555555555557</v>
      </c>
      <c r="M21" s="5">
        <f t="shared" si="0"/>
        <v>8</v>
      </c>
      <c r="N21" s="5">
        <f t="shared" si="1"/>
        <v>2</v>
      </c>
      <c r="O21" s="5">
        <f t="shared" si="2"/>
        <v>1</v>
      </c>
      <c r="P21" s="5">
        <f t="shared" si="3"/>
        <v>5</v>
      </c>
      <c r="Q21" s="6" t="s">
        <v>29</v>
      </c>
    </row>
    <row r="22" spans="1:17" x14ac:dyDescent="0.3">
      <c r="A22" s="2" t="s">
        <v>17</v>
      </c>
      <c r="B22" s="3" t="s">
        <v>28</v>
      </c>
      <c r="C22" s="2">
        <v>3</v>
      </c>
      <c r="D22" s="4">
        <v>0.27291666666666697</v>
      </c>
      <c r="E22" s="4">
        <v>0.33333333333333298</v>
      </c>
      <c r="F22" s="4">
        <v>0.33888888888888902</v>
      </c>
      <c r="G22" s="4">
        <v>0.36180555555555599</v>
      </c>
      <c r="H22" s="4">
        <v>0.36388888888888898</v>
      </c>
      <c r="I22" s="4">
        <v>0.36180555555555555</v>
      </c>
      <c r="J22" s="4">
        <v>0.36388888888888887</v>
      </c>
      <c r="K22" s="4">
        <v>0.36458333333333331</v>
      </c>
      <c r="L22" s="4">
        <v>0.36736111111111114</v>
      </c>
      <c r="M22" s="5">
        <f t="shared" si="0"/>
        <v>8</v>
      </c>
      <c r="N22" s="5">
        <f t="shared" si="1"/>
        <v>3</v>
      </c>
      <c r="O22" s="5">
        <f t="shared" si="2"/>
        <v>3</v>
      </c>
      <c r="P22" s="5">
        <f t="shared" si="3"/>
        <v>4</v>
      </c>
      <c r="Q22" s="6" t="s">
        <v>30</v>
      </c>
    </row>
    <row r="23" spans="1:17" x14ac:dyDescent="0.3">
      <c r="A23" s="2" t="s">
        <v>17</v>
      </c>
      <c r="B23" s="3" t="s">
        <v>31</v>
      </c>
      <c r="C23" s="2">
        <v>1</v>
      </c>
      <c r="D23" s="4">
        <v>0.48611111111111099</v>
      </c>
      <c r="E23" s="4">
        <v>0.49791666666666701</v>
      </c>
      <c r="F23" s="4">
        <v>0.50555555555555598</v>
      </c>
      <c r="G23" s="4"/>
      <c r="H23" s="4"/>
      <c r="I23" s="4"/>
      <c r="J23" s="4"/>
      <c r="K23" s="4">
        <v>0.58263888888888904</v>
      </c>
      <c r="L23" s="4">
        <v>0.58888888888888902</v>
      </c>
      <c r="M23" s="5">
        <f t="shared" si="0"/>
        <v>11</v>
      </c>
      <c r="N23" s="5" t="str">
        <f t="shared" si="1"/>
        <v/>
      </c>
      <c r="O23" s="5" t="str">
        <f t="shared" si="2"/>
        <v/>
      </c>
      <c r="P23" s="5">
        <f t="shared" si="3"/>
        <v>9</v>
      </c>
      <c r="Q23" s="3"/>
    </row>
    <row r="24" spans="1:17" x14ac:dyDescent="0.3">
      <c r="A24" s="2" t="s">
        <v>32</v>
      </c>
      <c r="B24" s="3" t="s">
        <v>22</v>
      </c>
      <c r="C24" s="2">
        <v>1</v>
      </c>
      <c r="D24" s="4">
        <v>0.25763888888888897</v>
      </c>
      <c r="E24" s="4">
        <v>0.26180555555555601</v>
      </c>
      <c r="F24" s="4">
        <v>0.26874999999999999</v>
      </c>
      <c r="G24" s="4">
        <v>0.27916666666666701</v>
      </c>
      <c r="H24" s="4">
        <v>0.280555555555556</v>
      </c>
      <c r="I24" s="4"/>
      <c r="J24" s="4"/>
      <c r="K24" s="4"/>
      <c r="L24" s="4"/>
      <c r="M24" s="5">
        <f t="shared" si="0"/>
        <v>10</v>
      </c>
      <c r="N24" s="5">
        <f t="shared" si="1"/>
        <v>2</v>
      </c>
      <c r="O24" s="5" t="str">
        <f t="shared" si="2"/>
        <v/>
      </c>
      <c r="P24" s="5" t="str">
        <f t="shared" si="3"/>
        <v/>
      </c>
      <c r="Q24" s="6" t="s">
        <v>33</v>
      </c>
    </row>
    <row r="25" spans="1:17" x14ac:dyDescent="0.3">
      <c r="A25" s="2" t="s">
        <v>32</v>
      </c>
      <c r="B25" s="3" t="s">
        <v>22</v>
      </c>
      <c r="C25" s="2">
        <v>2</v>
      </c>
      <c r="D25" s="4">
        <v>0.27083333333333298</v>
      </c>
      <c r="E25" s="4">
        <v>0.28402777777777799</v>
      </c>
      <c r="F25" s="4">
        <v>0.29027777777777802</v>
      </c>
      <c r="G25" s="4">
        <v>0.30347222222222198</v>
      </c>
      <c r="H25" s="4">
        <v>0.30486111111111103</v>
      </c>
      <c r="I25" s="4"/>
      <c r="J25" s="4"/>
      <c r="K25" s="4">
        <v>0.30555555555555602</v>
      </c>
      <c r="L25" s="4">
        <v>0.3125</v>
      </c>
      <c r="M25" s="5">
        <f t="shared" si="0"/>
        <v>9</v>
      </c>
      <c r="N25" s="5">
        <f t="shared" si="1"/>
        <v>2</v>
      </c>
      <c r="O25" s="5" t="str">
        <f t="shared" si="2"/>
        <v/>
      </c>
      <c r="P25" s="5">
        <f t="shared" si="3"/>
        <v>10</v>
      </c>
      <c r="Q25" s="3"/>
    </row>
    <row r="26" spans="1:17" x14ac:dyDescent="0.3">
      <c r="A26" s="2" t="s">
        <v>32</v>
      </c>
      <c r="B26" s="3" t="s">
        <v>22</v>
      </c>
      <c r="C26" s="2">
        <v>3</v>
      </c>
      <c r="D26" s="4">
        <v>0.265972222222222</v>
      </c>
      <c r="E26" s="4">
        <v>0.27291666666666697</v>
      </c>
      <c r="F26" s="4">
        <v>0.27847222222222201</v>
      </c>
      <c r="G26" s="4">
        <v>0.29861111111111099</v>
      </c>
      <c r="H26" s="4">
        <v>0.30138888888888898</v>
      </c>
      <c r="I26" s="4"/>
      <c r="J26" s="4"/>
      <c r="K26" s="4"/>
      <c r="L26" s="4"/>
      <c r="M26" s="5">
        <f t="shared" si="0"/>
        <v>8</v>
      </c>
      <c r="N26" s="5">
        <f t="shared" si="1"/>
        <v>4</v>
      </c>
      <c r="O26" s="5" t="str">
        <f t="shared" si="2"/>
        <v/>
      </c>
      <c r="P26" s="5" t="str">
        <f t="shared" si="3"/>
        <v/>
      </c>
      <c r="Q26" s="6" t="s">
        <v>34</v>
      </c>
    </row>
    <row r="27" spans="1:17" x14ac:dyDescent="0.3">
      <c r="A27" s="2" t="s">
        <v>32</v>
      </c>
      <c r="B27" s="3" t="s">
        <v>22</v>
      </c>
      <c r="C27" s="2">
        <v>4</v>
      </c>
      <c r="D27" s="4">
        <v>0.28333333333333299</v>
      </c>
      <c r="E27" s="4">
        <v>0.33819444444444502</v>
      </c>
      <c r="F27" s="4">
        <v>0.34305555555555556</v>
      </c>
      <c r="G27" s="4">
        <v>0.36180555555555599</v>
      </c>
      <c r="H27" s="4">
        <v>0.36319444444444399</v>
      </c>
      <c r="I27" s="4">
        <v>0.36319444444444399</v>
      </c>
      <c r="J27" s="4">
        <v>0.36388888888888898</v>
      </c>
      <c r="K27" s="4">
        <v>0.36458333333333298</v>
      </c>
      <c r="L27" s="4">
        <v>0.36805555555555602</v>
      </c>
      <c r="M27" s="5">
        <f t="shared" si="0"/>
        <v>7</v>
      </c>
      <c r="N27" s="5">
        <f t="shared" si="1"/>
        <v>2</v>
      </c>
      <c r="O27" s="5">
        <f t="shared" si="2"/>
        <v>1</v>
      </c>
      <c r="P27" s="5">
        <f t="shared" si="3"/>
        <v>5</v>
      </c>
      <c r="Q27" s="6" t="s">
        <v>35</v>
      </c>
    </row>
    <row r="28" spans="1:17" x14ac:dyDescent="0.3">
      <c r="A28" s="2" t="s">
        <v>32</v>
      </c>
      <c r="B28" s="3" t="s">
        <v>22</v>
      </c>
      <c r="C28" s="2">
        <v>5</v>
      </c>
      <c r="D28" s="4">
        <v>0.32638888888888901</v>
      </c>
      <c r="E28" s="4">
        <v>0.46527777777777801</v>
      </c>
      <c r="F28" s="4">
        <v>0.47152777777777799</v>
      </c>
      <c r="G28" s="4">
        <v>0.5</v>
      </c>
      <c r="H28" s="4">
        <v>0.50347222222222199</v>
      </c>
      <c r="I28" s="4"/>
      <c r="J28" s="4"/>
      <c r="K28" s="4">
        <v>0.50416666666666698</v>
      </c>
      <c r="L28" s="4">
        <v>0.51111111111111096</v>
      </c>
      <c r="M28" s="5">
        <f t="shared" si="0"/>
        <v>9</v>
      </c>
      <c r="N28" s="5">
        <f t="shared" si="1"/>
        <v>5</v>
      </c>
      <c r="O28" s="5" t="str">
        <f t="shared" si="2"/>
        <v/>
      </c>
      <c r="P28" s="5">
        <f t="shared" si="3"/>
        <v>10</v>
      </c>
      <c r="Q28" s="3"/>
    </row>
    <row r="29" spans="1:17" x14ac:dyDescent="0.3">
      <c r="A29" s="2" t="s">
        <v>32</v>
      </c>
      <c r="B29" s="3" t="s">
        <v>22</v>
      </c>
      <c r="C29" s="2">
        <v>6</v>
      </c>
      <c r="D29" s="4">
        <v>0.27500000000000002</v>
      </c>
      <c r="E29" s="4">
        <v>0.30416666666666697</v>
      </c>
      <c r="F29" s="4">
        <v>0.30972222222222201</v>
      </c>
      <c r="G29" s="4">
        <v>0.32291666666666702</v>
      </c>
      <c r="H29" s="4">
        <v>0.32500000000000001</v>
      </c>
      <c r="I29" s="4"/>
      <c r="J29" s="4"/>
      <c r="K29" s="4">
        <v>0.32638888888888901</v>
      </c>
      <c r="L29" s="4">
        <v>0.33194444444444399</v>
      </c>
      <c r="M29" s="5">
        <f t="shared" si="0"/>
        <v>8</v>
      </c>
      <c r="N29" s="5">
        <f t="shared" si="1"/>
        <v>3</v>
      </c>
      <c r="O29" s="5" t="str">
        <f t="shared" si="2"/>
        <v/>
      </c>
      <c r="P29" s="5">
        <f t="shared" si="3"/>
        <v>8</v>
      </c>
      <c r="Q29" s="3"/>
    </row>
    <row r="30" spans="1:17" x14ac:dyDescent="0.3">
      <c r="A30" s="2" t="s">
        <v>32</v>
      </c>
      <c r="B30" s="3" t="s">
        <v>22</v>
      </c>
      <c r="C30" s="2">
        <v>7</v>
      </c>
      <c r="D30" s="4">
        <v>0.28819444444444398</v>
      </c>
      <c r="E30" s="4">
        <v>0.36805555555555602</v>
      </c>
      <c r="F30" s="4">
        <v>0.374305555555556</v>
      </c>
      <c r="G30" s="4">
        <v>0.39374999999999999</v>
      </c>
      <c r="H30" s="4">
        <v>0.39513888888888898</v>
      </c>
      <c r="I30" s="4"/>
      <c r="J30" s="4"/>
      <c r="K30" s="4">
        <v>0.390277777777778</v>
      </c>
      <c r="L30" s="4">
        <v>0.39374999999999999</v>
      </c>
      <c r="M30" s="5">
        <f t="shared" si="0"/>
        <v>9</v>
      </c>
      <c r="N30" s="5">
        <f t="shared" si="1"/>
        <v>2</v>
      </c>
      <c r="O30" s="5" t="str">
        <f t="shared" si="2"/>
        <v/>
      </c>
      <c r="P30" s="5">
        <f t="shared" si="3"/>
        <v>5</v>
      </c>
      <c r="Q30" s="6" t="s">
        <v>36</v>
      </c>
    </row>
    <row r="31" spans="1:17" x14ac:dyDescent="0.3">
      <c r="A31" s="2" t="s">
        <v>32</v>
      </c>
      <c r="B31" s="3" t="s">
        <v>22</v>
      </c>
      <c r="C31" s="2">
        <v>8</v>
      </c>
      <c r="D31" s="4">
        <v>0.31874999999999998</v>
      </c>
      <c r="E31" s="4">
        <v>0.45486111111111099</v>
      </c>
      <c r="F31" s="4">
        <v>0.45972222222222198</v>
      </c>
      <c r="G31" s="4">
        <v>0.47777777777777802</v>
      </c>
      <c r="H31" s="4">
        <v>0.47916666666666702</v>
      </c>
      <c r="I31" s="4"/>
      <c r="J31" s="4"/>
      <c r="K31" s="4">
        <v>0.47916666666666702</v>
      </c>
      <c r="L31" s="4">
        <v>0.48194444444444501</v>
      </c>
      <c r="M31" s="5">
        <f t="shared" si="0"/>
        <v>7</v>
      </c>
      <c r="N31" s="5">
        <f t="shared" si="1"/>
        <v>2</v>
      </c>
      <c r="O31" s="5" t="str">
        <f t="shared" si="2"/>
        <v/>
      </c>
      <c r="P31" s="5">
        <f t="shared" si="3"/>
        <v>4</v>
      </c>
      <c r="Q31" s="3"/>
    </row>
    <row r="32" spans="1:17" x14ac:dyDescent="0.3">
      <c r="A32" s="2" t="s">
        <v>32</v>
      </c>
      <c r="B32" s="3" t="s">
        <v>22</v>
      </c>
      <c r="C32" s="2">
        <v>9</v>
      </c>
      <c r="D32" s="4">
        <v>0.31458333333333299</v>
      </c>
      <c r="E32" s="4">
        <v>0.4375</v>
      </c>
      <c r="F32" s="4">
        <v>0.44444444444444398</v>
      </c>
      <c r="G32" s="4">
        <v>0.46041666666666697</v>
      </c>
      <c r="H32" s="4">
        <v>0.46111111111111103</v>
      </c>
      <c r="I32" s="4"/>
      <c r="J32" s="4"/>
      <c r="K32" s="4">
        <v>0.46250000000000002</v>
      </c>
      <c r="L32" s="4">
        <v>0.46597222222222201</v>
      </c>
      <c r="M32" s="5">
        <f t="shared" si="0"/>
        <v>10</v>
      </c>
      <c r="N32" s="5">
        <f t="shared" si="1"/>
        <v>1</v>
      </c>
      <c r="O32" s="5" t="str">
        <f t="shared" si="2"/>
        <v/>
      </c>
      <c r="P32" s="5">
        <f t="shared" si="3"/>
        <v>5</v>
      </c>
      <c r="Q32" s="3"/>
    </row>
    <row r="33" spans="1:17" x14ac:dyDescent="0.3">
      <c r="A33" s="2" t="s">
        <v>32</v>
      </c>
      <c r="B33" s="3" t="s">
        <v>22</v>
      </c>
      <c r="C33" s="2">
        <v>10</v>
      </c>
      <c r="D33" s="4">
        <v>0.30694444444444502</v>
      </c>
      <c r="E33" s="4">
        <v>0.41875000000000001</v>
      </c>
      <c r="F33" s="4">
        <v>0.42430555555555599</v>
      </c>
      <c r="G33" s="4">
        <v>0.436805555555556</v>
      </c>
      <c r="H33" s="4">
        <v>0.438194444444444</v>
      </c>
      <c r="I33" s="4"/>
      <c r="J33" s="4"/>
      <c r="K33" s="4">
        <v>0.438194444444444</v>
      </c>
      <c r="L33" s="4">
        <v>0.44305555555555598</v>
      </c>
      <c r="M33" s="5">
        <f t="shared" si="0"/>
        <v>8</v>
      </c>
      <c r="N33" s="5">
        <f t="shared" si="1"/>
        <v>2</v>
      </c>
      <c r="O33" s="5" t="str">
        <f t="shared" si="2"/>
        <v/>
      </c>
      <c r="P33" s="5">
        <f t="shared" si="3"/>
        <v>7</v>
      </c>
      <c r="Q33" s="3"/>
    </row>
    <row r="34" spans="1:17" x14ac:dyDescent="0.3">
      <c r="A34" s="2" t="s">
        <v>32</v>
      </c>
      <c r="B34" s="3" t="s">
        <v>22</v>
      </c>
      <c r="C34" s="2">
        <v>11</v>
      </c>
      <c r="D34" s="4">
        <v>0.29166666666666702</v>
      </c>
      <c r="E34" s="4">
        <v>0.38888888888888901</v>
      </c>
      <c r="F34" s="4">
        <v>0.39583333333333298</v>
      </c>
      <c r="G34" s="4">
        <v>0.41180555555555598</v>
      </c>
      <c r="H34" s="4">
        <v>0.41388888888888897</v>
      </c>
      <c r="I34" s="4"/>
      <c r="J34" s="4"/>
      <c r="K34" s="4">
        <v>0.406944444444444</v>
      </c>
      <c r="L34" s="4">
        <v>0.41111111111111098</v>
      </c>
      <c r="M34" s="5">
        <f t="shared" si="0"/>
        <v>10</v>
      </c>
      <c r="N34" s="5">
        <f t="shared" si="1"/>
        <v>3</v>
      </c>
      <c r="O34" s="5" t="str">
        <f t="shared" si="2"/>
        <v/>
      </c>
      <c r="P34" s="5">
        <f t="shared" si="3"/>
        <v>6</v>
      </c>
      <c r="Q34" s="6" t="s">
        <v>36</v>
      </c>
    </row>
    <row r="35" spans="1:17" x14ac:dyDescent="0.3">
      <c r="A35" s="2" t="s">
        <v>32</v>
      </c>
      <c r="B35" s="3" t="s">
        <v>37</v>
      </c>
      <c r="C35" s="2">
        <v>1</v>
      </c>
      <c r="D35" s="4">
        <v>0.28680555555555598</v>
      </c>
      <c r="E35" s="4">
        <v>0.35069444444444398</v>
      </c>
      <c r="F35" s="4">
        <v>0.35486111111111113</v>
      </c>
      <c r="G35" s="4">
        <v>0.37847222222222199</v>
      </c>
      <c r="H35" s="4">
        <v>0.38055555555555598</v>
      </c>
      <c r="I35" s="4">
        <v>0.38055555555555598</v>
      </c>
      <c r="J35" s="4">
        <v>0.38124999999999998</v>
      </c>
      <c r="K35" s="4">
        <v>0.38124999999999998</v>
      </c>
      <c r="L35" s="4">
        <v>0.38402777777777802</v>
      </c>
      <c r="M35" s="5">
        <f t="shared" si="0"/>
        <v>6</v>
      </c>
      <c r="N35" s="5">
        <f t="shared" si="1"/>
        <v>3</v>
      </c>
      <c r="O35" s="5">
        <f t="shared" si="2"/>
        <v>1</v>
      </c>
      <c r="P35" s="5">
        <f t="shared" si="3"/>
        <v>4</v>
      </c>
      <c r="Q35" s="3"/>
    </row>
    <row r="36" spans="1:17" x14ac:dyDescent="0.3">
      <c r="A36" s="2" t="s">
        <v>32</v>
      </c>
      <c r="B36" s="3" t="s">
        <v>37</v>
      </c>
      <c r="C36" s="2">
        <v>2</v>
      </c>
      <c r="D36" s="4">
        <v>0.29444444444444501</v>
      </c>
      <c r="E36" s="4">
        <v>0.39930555555555602</v>
      </c>
      <c r="F36" s="4">
        <v>0.40277777777777801</v>
      </c>
      <c r="G36" s="4"/>
      <c r="H36" s="4"/>
      <c r="I36" s="4"/>
      <c r="J36" s="4"/>
      <c r="K36" s="4">
        <v>0.42430555555555555</v>
      </c>
      <c r="L36" s="4">
        <v>0.42777777777777798</v>
      </c>
      <c r="M36" s="5">
        <f t="shared" si="0"/>
        <v>5</v>
      </c>
      <c r="N36" s="5" t="str">
        <f t="shared" si="1"/>
        <v/>
      </c>
      <c r="O36" s="5" t="str">
        <f t="shared" si="2"/>
        <v/>
      </c>
      <c r="P36" s="5">
        <f t="shared" si="3"/>
        <v>5</v>
      </c>
      <c r="Q36" s="3"/>
    </row>
    <row r="37" spans="1:17" x14ac:dyDescent="0.3">
      <c r="A37" s="2" t="s">
        <v>32</v>
      </c>
      <c r="B37" s="3" t="s">
        <v>37</v>
      </c>
      <c r="C37" s="2">
        <v>3</v>
      </c>
      <c r="D37" s="4">
        <v>0.28333333333333299</v>
      </c>
      <c r="E37" s="4">
        <v>0.32013888888888886</v>
      </c>
      <c r="F37" s="4">
        <v>0.32569444444444501</v>
      </c>
      <c r="G37" s="4">
        <v>0.35486111111111102</v>
      </c>
      <c r="H37" s="4">
        <v>0.35625000000000001</v>
      </c>
      <c r="I37" s="4">
        <v>0.35694444444444445</v>
      </c>
      <c r="J37" s="4">
        <v>0.35763888888888901</v>
      </c>
      <c r="K37" s="4">
        <v>0.35763888888888901</v>
      </c>
      <c r="L37" s="4">
        <v>0.36111111111111099</v>
      </c>
      <c r="M37" s="5">
        <f t="shared" si="0"/>
        <v>8</v>
      </c>
      <c r="N37" s="5">
        <f t="shared" si="1"/>
        <v>2</v>
      </c>
      <c r="O37" s="5">
        <f t="shared" si="2"/>
        <v>1</v>
      </c>
      <c r="P37" s="5">
        <f t="shared" si="3"/>
        <v>5</v>
      </c>
      <c r="Q37" s="6" t="s">
        <v>38</v>
      </c>
    </row>
    <row r="38" spans="1:17" x14ac:dyDescent="0.3">
      <c r="A38" s="2" t="s">
        <v>32</v>
      </c>
      <c r="B38" s="3" t="s">
        <v>37</v>
      </c>
      <c r="C38" s="2">
        <v>4</v>
      </c>
      <c r="D38" s="4">
        <v>0.29166666666666702</v>
      </c>
      <c r="E38" s="4">
        <v>0.42499999999999999</v>
      </c>
      <c r="F38" s="4">
        <v>0.43194444444444502</v>
      </c>
      <c r="G38" s="4">
        <v>0.44305555555555598</v>
      </c>
      <c r="H38" s="4">
        <v>0.44444444444444398</v>
      </c>
      <c r="I38" s="4">
        <v>0.44513888888888886</v>
      </c>
      <c r="J38" s="4">
        <v>0.44583333333333303</v>
      </c>
      <c r="K38" s="4">
        <v>0.44583333333333303</v>
      </c>
      <c r="L38" s="4">
        <v>0.45069444444444501</v>
      </c>
      <c r="M38" s="5">
        <f t="shared" si="0"/>
        <v>10</v>
      </c>
      <c r="N38" s="5">
        <f t="shared" si="1"/>
        <v>2</v>
      </c>
      <c r="O38" s="5">
        <f t="shared" si="2"/>
        <v>1</v>
      </c>
      <c r="P38" s="5">
        <f t="shared" si="3"/>
        <v>7</v>
      </c>
      <c r="Q38" s="3"/>
    </row>
    <row r="39" spans="1:17" x14ac:dyDescent="0.3">
      <c r="A39" s="2" t="s">
        <v>32</v>
      </c>
      <c r="B39" s="3" t="s">
        <v>37</v>
      </c>
      <c r="C39" s="2">
        <v>5</v>
      </c>
      <c r="D39" s="4">
        <v>0.33541666666666697</v>
      </c>
      <c r="E39" s="4">
        <v>0.45138888888888901</v>
      </c>
      <c r="F39" s="4">
        <v>0.46041666666666664</v>
      </c>
      <c r="G39" s="4">
        <v>0.47083333333333299</v>
      </c>
      <c r="H39" s="4">
        <v>0.47291666666666698</v>
      </c>
      <c r="I39" s="4"/>
      <c r="J39" s="4"/>
      <c r="K39" s="4">
        <v>0.47361111111111098</v>
      </c>
      <c r="L39" s="4">
        <v>0.47916666666666702</v>
      </c>
      <c r="M39" s="5">
        <f t="shared" si="0"/>
        <v>13</v>
      </c>
      <c r="N39" s="5">
        <f t="shared" si="1"/>
        <v>3</v>
      </c>
      <c r="O39" s="5" t="str">
        <f t="shared" si="2"/>
        <v/>
      </c>
      <c r="P39" s="5">
        <f t="shared" si="3"/>
        <v>8</v>
      </c>
      <c r="Q39" s="6" t="s">
        <v>39</v>
      </c>
    </row>
    <row r="40" spans="1:17" x14ac:dyDescent="0.3">
      <c r="A40" s="2" t="s">
        <v>32</v>
      </c>
      <c r="B40" s="3" t="s">
        <v>37</v>
      </c>
      <c r="C40" s="2">
        <v>6</v>
      </c>
      <c r="D40" s="4">
        <v>0.3125</v>
      </c>
      <c r="E40" s="4">
        <v>0.40625</v>
      </c>
      <c r="F40" s="4">
        <v>0.41041666666666698</v>
      </c>
      <c r="G40" s="4">
        <v>0.43263888888888902</v>
      </c>
      <c r="H40" s="4">
        <v>0.43472222222222201</v>
      </c>
      <c r="I40" s="4"/>
      <c r="J40" s="4"/>
      <c r="K40" s="4">
        <v>0.42847222222222198</v>
      </c>
      <c r="L40" s="4">
        <v>0.43333333333333302</v>
      </c>
      <c r="M40" s="5">
        <f t="shared" si="0"/>
        <v>6</v>
      </c>
      <c r="N40" s="5">
        <f t="shared" si="1"/>
        <v>3</v>
      </c>
      <c r="O40" s="5" t="str">
        <f t="shared" si="2"/>
        <v/>
      </c>
      <c r="P40" s="5">
        <f t="shared" si="3"/>
        <v>7</v>
      </c>
      <c r="Q40" s="6" t="s">
        <v>40</v>
      </c>
    </row>
    <row r="41" spans="1:17" x14ac:dyDescent="0.3">
      <c r="A41" s="2" t="s">
        <v>32</v>
      </c>
      <c r="B41" s="3" t="s">
        <v>41</v>
      </c>
      <c r="C41" s="2">
        <v>1</v>
      </c>
      <c r="D41" s="4">
        <v>0.27638888888888902</v>
      </c>
      <c r="E41" s="4">
        <v>0.30625000000000002</v>
      </c>
      <c r="F41" s="4">
        <v>0.3125</v>
      </c>
      <c r="G41" s="4">
        <v>0.33680555555555602</v>
      </c>
      <c r="H41" s="4">
        <v>0.33819444444444502</v>
      </c>
      <c r="I41" s="4">
        <v>0.34027777777777801</v>
      </c>
      <c r="J41" s="4">
        <v>0.34166666666666701</v>
      </c>
      <c r="K41" s="4">
        <v>0.34166666666666701</v>
      </c>
      <c r="L41" s="4">
        <v>0.34652777777777799</v>
      </c>
      <c r="M41" s="5">
        <f t="shared" si="0"/>
        <v>9</v>
      </c>
      <c r="N41" s="5">
        <f t="shared" si="1"/>
        <v>2</v>
      </c>
      <c r="O41" s="5">
        <f t="shared" si="2"/>
        <v>2</v>
      </c>
      <c r="P41" s="5">
        <f t="shared" si="3"/>
        <v>7</v>
      </c>
      <c r="Q41" s="3"/>
    </row>
    <row r="42" spans="1:17" x14ac:dyDescent="0.3">
      <c r="A42" s="2" t="s">
        <v>32</v>
      </c>
      <c r="B42" s="3" t="s">
        <v>41</v>
      </c>
      <c r="C42" s="2">
        <v>2</v>
      </c>
      <c r="D42" s="4">
        <v>0.3</v>
      </c>
      <c r="E42" s="4">
        <v>0.36527777777777798</v>
      </c>
      <c r="F42" s="4">
        <v>0.36875000000000002</v>
      </c>
      <c r="G42" s="4">
        <v>0.38194444444444398</v>
      </c>
      <c r="H42" s="4">
        <v>0.38472222222222202</v>
      </c>
      <c r="I42" s="4"/>
      <c r="J42" s="4"/>
      <c r="K42" s="4">
        <v>0.38611111111111113</v>
      </c>
      <c r="L42" s="4">
        <v>0.38819444444444501</v>
      </c>
      <c r="M42" s="5">
        <f t="shared" si="0"/>
        <v>5</v>
      </c>
      <c r="N42" s="5">
        <f t="shared" si="1"/>
        <v>4</v>
      </c>
      <c r="O42" s="5" t="str">
        <f t="shared" si="2"/>
        <v/>
      </c>
      <c r="P42" s="5">
        <f t="shared" si="3"/>
        <v>3</v>
      </c>
      <c r="Q42" s="3"/>
    </row>
    <row r="43" spans="1:17" x14ac:dyDescent="0.3">
      <c r="A43" s="2" t="s">
        <v>32</v>
      </c>
      <c r="B43" s="3" t="s">
        <v>41</v>
      </c>
      <c r="C43" s="2">
        <v>3</v>
      </c>
      <c r="D43" s="4">
        <v>0.29166666666666702</v>
      </c>
      <c r="E43" s="4">
        <v>0.327777777777778</v>
      </c>
      <c r="F43" s="4">
        <v>0.33194444444444399</v>
      </c>
      <c r="G43" s="4">
        <v>0.36458333333333298</v>
      </c>
      <c r="H43" s="4">
        <v>0.36666666666666697</v>
      </c>
      <c r="I43" s="4"/>
      <c r="J43" s="4"/>
      <c r="K43" s="4">
        <v>0.36736111111111103</v>
      </c>
      <c r="L43" s="4">
        <v>0.37222222222222201</v>
      </c>
      <c r="M43" s="5">
        <f t="shared" si="0"/>
        <v>6</v>
      </c>
      <c r="N43" s="5">
        <f t="shared" si="1"/>
        <v>3</v>
      </c>
      <c r="O43" s="5" t="str">
        <f t="shared" si="2"/>
        <v/>
      </c>
      <c r="P43" s="5">
        <f t="shared" si="3"/>
        <v>7</v>
      </c>
      <c r="Q43" s="3"/>
    </row>
  </sheetData>
  <autoFilter ref="A1:Q43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zoomScaleNormal="100" workbookViewId="0"/>
  </sheetViews>
  <sheetFormatPr defaultColWidth="8.6640625" defaultRowHeight="14.4" x14ac:dyDescent="0.3"/>
  <cols>
    <col min="1" max="1" width="40" customWidth="1"/>
    <col min="2" max="2" width="12" customWidth="1"/>
    <col min="3" max="3" width="11" customWidth="1"/>
  </cols>
  <sheetData>
    <row r="1" spans="1:3" x14ac:dyDescent="0.3">
      <c r="A1" s="7" t="s">
        <v>1</v>
      </c>
      <c r="B1" s="7" t="s">
        <v>0</v>
      </c>
      <c r="C1" s="7" t="s">
        <v>42</v>
      </c>
    </row>
    <row r="2" spans="1:3" x14ac:dyDescent="0.3">
      <c r="A2" s="8" t="s">
        <v>18</v>
      </c>
      <c r="B2" s="9" t="s">
        <v>17</v>
      </c>
      <c r="C2" s="9">
        <f>COUNTIFS(Horários!$B$2:$B$43,A2,Horários!$A$2:$A$43,B2)</f>
        <v>7</v>
      </c>
    </row>
    <row r="3" spans="1:3" x14ac:dyDescent="0.3">
      <c r="A3" s="8" t="s">
        <v>22</v>
      </c>
      <c r="B3" s="9" t="s">
        <v>17</v>
      </c>
      <c r="C3" s="9">
        <f>COUNTIFS(Horários!$B$2:$B$43,A3,Horários!$A$2:$A$43,B3)</f>
        <v>7</v>
      </c>
    </row>
    <row r="4" spans="1:3" x14ac:dyDescent="0.3">
      <c r="A4" s="8" t="s">
        <v>25</v>
      </c>
      <c r="B4" s="9" t="s">
        <v>17</v>
      </c>
      <c r="C4" s="9">
        <f>COUNTIFS(Horários!$B$2:$B$43,A4,Horários!$A$2:$A$43,B4)</f>
        <v>4</v>
      </c>
    </row>
    <row r="5" spans="1:3" x14ac:dyDescent="0.3">
      <c r="A5" s="8" t="s">
        <v>28</v>
      </c>
      <c r="B5" s="9" t="s">
        <v>17</v>
      </c>
      <c r="C5" s="9">
        <f>COUNTIFS(Horários!$B$2:$B$43,A5,Horários!$A$2:$A$43,B5)</f>
        <v>3</v>
      </c>
    </row>
    <row r="6" spans="1:3" x14ac:dyDescent="0.3">
      <c r="A6" s="8" t="s">
        <v>31</v>
      </c>
      <c r="B6" s="9" t="s">
        <v>17</v>
      </c>
      <c r="C6" s="9">
        <f>COUNTIFS(Horários!$B$2:$B$43,A6,Horários!$A$2:$A$43,B6)</f>
        <v>1</v>
      </c>
    </row>
    <row r="7" spans="1:3" x14ac:dyDescent="0.3">
      <c r="A7" s="8" t="s">
        <v>22</v>
      </c>
      <c r="B7" s="9" t="s">
        <v>32</v>
      </c>
      <c r="C7" s="9">
        <f>COUNTIFS(Horários!$B$2:$B$43,A7,Horários!$A$2:$A$43,B7)</f>
        <v>11</v>
      </c>
    </row>
    <row r="8" spans="1:3" x14ac:dyDescent="0.3">
      <c r="A8" s="8" t="s">
        <v>37</v>
      </c>
      <c r="B8" s="9" t="s">
        <v>32</v>
      </c>
      <c r="C8" s="9">
        <f>COUNTIFS(Horários!$B$2:$B$43,A8,Horários!$A$2:$A$43,B8)</f>
        <v>6</v>
      </c>
    </row>
    <row r="9" spans="1:3" x14ac:dyDescent="0.3">
      <c r="A9" s="8" t="s">
        <v>41</v>
      </c>
      <c r="B9" s="9" t="s">
        <v>32</v>
      </c>
      <c r="C9" s="9">
        <f>COUNTIFS(Horários!$B$2:$B$43,A9,Horários!$A$2:$A$43,B9)</f>
        <v>3</v>
      </c>
    </row>
    <row r="10" spans="1:3" x14ac:dyDescent="0.3">
      <c r="A10" s="10" t="s">
        <v>43</v>
      </c>
      <c r="B10" s="11"/>
      <c r="C10" s="11">
        <f>SUM(C2:C9)</f>
        <v>42</v>
      </c>
    </row>
    <row r="12" spans="1:3" x14ac:dyDescent="0.3">
      <c r="A12" s="12" t="s">
        <v>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Horários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NASCIMENTO Daniel</cp:lastModifiedBy>
  <cp:revision>0</cp:revision>
  <dcterms:created xsi:type="dcterms:W3CDTF">2026-10-07T20:13:02Z</dcterms:created>
  <dcterms:modified xsi:type="dcterms:W3CDTF">2026-10-08T12:12:52Z</dcterms:modified>
  <dc:language>en-US</dc:language>
</cp:coreProperties>
</file>