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97E11CAA-CE5F-463B-BF3A-50FD29E4E98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ções" sheetId="1" r:id="rId1"/>
    <sheet name="Coleta de Dados" sheetId="2" r:id="rId2"/>
  </sheets>
  <definedNames>
    <definedName name="_xlnm._FilterDatabase" localSheetId="1" hidden="1">'Coleta de Dados'!$A$4:$BF$302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I56" i="2" l="1"/>
  <c r="BI55" i="2"/>
  <c r="BI54" i="2"/>
  <c r="BI53" i="2"/>
  <c r="BI51" i="2"/>
  <c r="BI50" i="2"/>
  <c r="BI49" i="2"/>
  <c r="BI48" i="2"/>
  <c r="BI47" i="2"/>
  <c r="BI46" i="2"/>
  <c r="BI44" i="2"/>
  <c r="BI43" i="2"/>
  <c r="BI42" i="2"/>
  <c r="BI41" i="2"/>
  <c r="BI40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97" i="2"/>
  <c r="BJ98" i="2"/>
  <c r="BJ99" i="2"/>
  <c r="BJ100" i="2"/>
  <c r="BJ101" i="2"/>
  <c r="BJ102" i="2"/>
  <c r="BJ103" i="2"/>
  <c r="BJ104" i="2"/>
  <c r="BJ105" i="2"/>
  <c r="BJ106" i="2"/>
  <c r="BJ107" i="2"/>
  <c r="BJ108" i="2"/>
  <c r="BJ109" i="2"/>
  <c r="BJ110" i="2"/>
  <c r="BJ111" i="2"/>
  <c r="BJ112" i="2"/>
  <c r="BJ113" i="2"/>
  <c r="BJ114" i="2"/>
  <c r="BJ115" i="2"/>
  <c r="BJ116" i="2"/>
  <c r="BJ117" i="2"/>
  <c r="BJ118" i="2"/>
  <c r="BJ119" i="2"/>
  <c r="BJ120" i="2"/>
  <c r="BJ121" i="2"/>
  <c r="BJ122" i="2"/>
  <c r="BJ123" i="2"/>
  <c r="BJ124" i="2"/>
  <c r="BJ125" i="2"/>
  <c r="BJ126" i="2"/>
  <c r="BJ127" i="2"/>
  <c r="BJ128" i="2"/>
  <c r="BJ129" i="2"/>
  <c r="BJ130" i="2"/>
  <c r="BJ131" i="2"/>
  <c r="BJ132" i="2"/>
  <c r="BJ133" i="2"/>
  <c r="BJ134" i="2"/>
  <c r="BJ135" i="2"/>
  <c r="BJ136" i="2"/>
  <c r="BJ137" i="2"/>
  <c r="BJ138" i="2"/>
  <c r="BJ139" i="2"/>
  <c r="BJ140" i="2"/>
  <c r="BJ141" i="2"/>
  <c r="BJ142" i="2"/>
  <c r="BJ143" i="2"/>
  <c r="BJ144" i="2"/>
  <c r="BJ145" i="2"/>
  <c r="BJ146" i="2"/>
  <c r="BJ147" i="2"/>
  <c r="BJ148" i="2"/>
  <c r="BJ149" i="2"/>
  <c r="BJ150" i="2"/>
  <c r="BJ151" i="2"/>
  <c r="BJ152" i="2"/>
  <c r="BJ153" i="2"/>
  <c r="BJ154" i="2"/>
  <c r="BJ155" i="2"/>
  <c r="BJ156" i="2"/>
  <c r="BJ157" i="2"/>
  <c r="BJ158" i="2"/>
  <c r="BJ159" i="2"/>
  <c r="BJ160" i="2"/>
  <c r="BJ161" i="2"/>
  <c r="BJ162" i="2"/>
  <c r="BJ163" i="2"/>
  <c r="BJ164" i="2"/>
  <c r="BJ165" i="2"/>
  <c r="BJ166" i="2"/>
  <c r="BJ167" i="2"/>
  <c r="BJ168" i="2"/>
  <c r="BJ169" i="2"/>
  <c r="BJ170" i="2"/>
  <c r="BJ171" i="2"/>
  <c r="BJ172" i="2"/>
  <c r="BJ173" i="2"/>
  <c r="BJ174" i="2"/>
  <c r="BJ175" i="2"/>
  <c r="BJ176" i="2"/>
  <c r="BJ177" i="2"/>
  <c r="BJ178" i="2"/>
  <c r="BJ179" i="2"/>
  <c r="BJ180" i="2"/>
  <c r="BJ181" i="2"/>
  <c r="BJ182" i="2"/>
  <c r="BJ183" i="2"/>
  <c r="BJ184" i="2"/>
  <c r="BJ185" i="2"/>
  <c r="BJ186" i="2"/>
  <c r="BJ187" i="2"/>
  <c r="BJ188" i="2"/>
  <c r="BJ189" i="2"/>
  <c r="BJ190" i="2"/>
  <c r="BJ191" i="2"/>
  <c r="BJ192" i="2"/>
  <c r="BJ193" i="2"/>
  <c r="BJ194" i="2"/>
  <c r="BJ195" i="2"/>
  <c r="BJ196" i="2"/>
  <c r="BJ197" i="2"/>
  <c r="BJ198" i="2"/>
  <c r="BJ199" i="2"/>
  <c r="BJ200" i="2"/>
  <c r="BJ201" i="2"/>
  <c r="BJ202" i="2"/>
  <c r="BJ203" i="2"/>
  <c r="BJ204" i="2"/>
  <c r="BJ205" i="2"/>
  <c r="BJ206" i="2"/>
  <c r="BJ207" i="2"/>
  <c r="BJ208" i="2"/>
  <c r="BJ209" i="2"/>
  <c r="BJ210" i="2"/>
  <c r="BJ211" i="2"/>
  <c r="BJ212" i="2"/>
  <c r="BJ213" i="2"/>
  <c r="BJ214" i="2"/>
  <c r="BJ215" i="2"/>
  <c r="BJ216" i="2"/>
  <c r="BJ217" i="2"/>
  <c r="BJ218" i="2"/>
  <c r="BJ219" i="2"/>
  <c r="BJ220" i="2"/>
  <c r="BJ221" i="2"/>
  <c r="BJ222" i="2"/>
  <c r="BJ223" i="2"/>
  <c r="BJ224" i="2"/>
  <c r="BJ225" i="2"/>
  <c r="BJ226" i="2"/>
  <c r="BJ227" i="2"/>
  <c r="BJ228" i="2"/>
  <c r="BJ229" i="2"/>
  <c r="BJ230" i="2"/>
  <c r="BJ231" i="2"/>
  <c r="BJ232" i="2"/>
  <c r="BJ233" i="2"/>
  <c r="BJ234" i="2"/>
  <c r="BJ235" i="2"/>
  <c r="BJ236" i="2"/>
  <c r="BJ237" i="2"/>
  <c r="BJ238" i="2"/>
  <c r="BJ239" i="2"/>
  <c r="BJ240" i="2"/>
  <c r="BJ241" i="2"/>
  <c r="BJ242" i="2"/>
  <c r="BJ243" i="2"/>
  <c r="BJ244" i="2"/>
  <c r="BJ245" i="2"/>
  <c r="BJ246" i="2"/>
  <c r="BJ247" i="2"/>
  <c r="BJ248" i="2"/>
  <c r="BJ249" i="2"/>
  <c r="BJ250" i="2"/>
  <c r="BJ251" i="2"/>
  <c r="BJ252" i="2"/>
  <c r="BJ253" i="2"/>
  <c r="BJ254" i="2"/>
  <c r="BJ255" i="2"/>
  <c r="BJ256" i="2"/>
  <c r="BJ257" i="2"/>
  <c r="BJ258" i="2"/>
  <c r="BJ259" i="2"/>
  <c r="BJ260" i="2"/>
  <c r="BJ261" i="2"/>
  <c r="BJ262" i="2"/>
  <c r="BJ263" i="2"/>
  <c r="BJ264" i="2"/>
  <c r="BJ265" i="2"/>
  <c r="BJ266" i="2"/>
  <c r="BJ267" i="2"/>
  <c r="BJ268" i="2"/>
  <c r="BJ269" i="2"/>
  <c r="BJ270" i="2"/>
  <c r="BJ271" i="2"/>
  <c r="BJ272" i="2"/>
  <c r="BJ273" i="2"/>
  <c r="BJ274" i="2"/>
  <c r="BJ275" i="2"/>
  <c r="BJ276" i="2"/>
  <c r="BJ277" i="2"/>
  <c r="BJ278" i="2"/>
  <c r="BJ279" i="2"/>
  <c r="BJ280" i="2"/>
  <c r="BJ281" i="2"/>
  <c r="BJ282" i="2"/>
  <c r="BJ283" i="2"/>
  <c r="BJ284" i="2"/>
  <c r="BJ285" i="2"/>
  <c r="BJ286" i="2"/>
  <c r="BJ287" i="2"/>
  <c r="BJ288" i="2"/>
  <c r="BJ289" i="2"/>
  <c r="BJ290" i="2"/>
  <c r="BJ291" i="2"/>
  <c r="BJ292" i="2"/>
  <c r="BJ293" i="2"/>
  <c r="BJ294" i="2"/>
  <c r="BJ295" i="2"/>
  <c r="BJ296" i="2"/>
  <c r="BJ297" i="2"/>
  <c r="BJ298" i="2"/>
  <c r="BJ299" i="2"/>
  <c r="BJ300" i="2"/>
  <c r="BJ301" i="2"/>
  <c r="BJ302" i="2"/>
  <c r="BJ9" i="2"/>
  <c r="BI32" i="2"/>
  <c r="BI30" i="2"/>
  <c r="BI29" i="2"/>
  <c r="BI28" i="2"/>
  <c r="BI27" i="2"/>
  <c r="BI26" i="2"/>
  <c r="BI25" i="2"/>
  <c r="BI24" i="2"/>
  <c r="BI23" i="2"/>
  <c r="BI22" i="2"/>
  <c r="BI21" i="2"/>
  <c r="BI20" i="2"/>
  <c r="BI19" i="2"/>
  <c r="BI17" i="2"/>
  <c r="BI16" i="2"/>
  <c r="BI15" i="2"/>
  <c r="BI14" i="2"/>
  <c r="BI13" i="2"/>
  <c r="BI12" i="2"/>
  <c r="BI11" i="2"/>
  <c r="BI10" i="2"/>
  <c r="BI9" i="2"/>
  <c r="BF30" i="2"/>
  <c r="BF29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AM80" i="2" s="1"/>
  <c r="BC81" i="2"/>
  <c r="BC82" i="2"/>
  <c r="BC83" i="2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C99" i="2"/>
  <c r="BC100" i="2"/>
  <c r="BC101" i="2"/>
  <c r="BC102" i="2"/>
  <c r="BC103" i="2"/>
  <c r="BC104" i="2"/>
  <c r="BC105" i="2"/>
  <c r="BC106" i="2"/>
  <c r="BC107" i="2"/>
  <c r="BC108" i="2"/>
  <c r="BC109" i="2"/>
  <c r="BC110" i="2"/>
  <c r="BC111" i="2"/>
  <c r="BC112" i="2"/>
  <c r="AM112" i="2" s="1"/>
  <c r="BC113" i="2"/>
  <c r="BC114" i="2"/>
  <c r="BC115" i="2"/>
  <c r="BC116" i="2"/>
  <c r="BC117" i="2"/>
  <c r="BC118" i="2"/>
  <c r="BC119" i="2"/>
  <c r="BC120" i="2"/>
  <c r="BC121" i="2"/>
  <c r="BC122" i="2"/>
  <c r="BC123" i="2"/>
  <c r="BC124" i="2"/>
  <c r="BC125" i="2"/>
  <c r="BC126" i="2"/>
  <c r="BC127" i="2"/>
  <c r="BC128" i="2"/>
  <c r="BC129" i="2"/>
  <c r="BC130" i="2"/>
  <c r="BC131" i="2"/>
  <c r="BC132" i="2"/>
  <c r="BC133" i="2"/>
  <c r="BC134" i="2"/>
  <c r="BC135" i="2"/>
  <c r="BC136" i="2"/>
  <c r="AM136" i="2" s="1"/>
  <c r="BC137" i="2"/>
  <c r="BC138" i="2"/>
  <c r="BC139" i="2"/>
  <c r="BC140" i="2"/>
  <c r="BC141" i="2"/>
  <c r="BC142" i="2"/>
  <c r="BC143" i="2"/>
  <c r="BC144" i="2"/>
  <c r="BC145" i="2"/>
  <c r="BC146" i="2"/>
  <c r="BC147" i="2"/>
  <c r="AM147" i="2" s="1"/>
  <c r="BC148" i="2"/>
  <c r="BC149" i="2"/>
  <c r="BC150" i="2"/>
  <c r="BC151" i="2"/>
  <c r="BC152" i="2"/>
  <c r="BC153" i="2"/>
  <c r="BC154" i="2"/>
  <c r="BC155" i="2"/>
  <c r="BC156" i="2"/>
  <c r="BC157" i="2"/>
  <c r="BC158" i="2"/>
  <c r="BC159" i="2"/>
  <c r="BC160" i="2"/>
  <c r="BC161" i="2"/>
  <c r="BC162" i="2"/>
  <c r="BC163" i="2"/>
  <c r="BC164" i="2"/>
  <c r="BC165" i="2"/>
  <c r="BC166" i="2"/>
  <c r="BC167" i="2"/>
  <c r="BC168" i="2"/>
  <c r="BC169" i="2"/>
  <c r="BC170" i="2"/>
  <c r="BC171" i="2"/>
  <c r="AM171" i="2" s="1"/>
  <c r="BC172" i="2"/>
  <c r="BC173" i="2"/>
  <c r="BC174" i="2"/>
  <c r="BC175" i="2"/>
  <c r="BC176" i="2"/>
  <c r="BC177" i="2"/>
  <c r="BC178" i="2"/>
  <c r="BC179" i="2"/>
  <c r="BC180" i="2"/>
  <c r="BC181" i="2"/>
  <c r="BC182" i="2"/>
  <c r="BC183" i="2"/>
  <c r="BC184" i="2"/>
  <c r="BC185" i="2"/>
  <c r="BC186" i="2"/>
  <c r="BC187" i="2"/>
  <c r="BC188" i="2"/>
  <c r="BC189" i="2"/>
  <c r="BC190" i="2"/>
  <c r="BC191" i="2"/>
  <c r="BC192" i="2"/>
  <c r="BC193" i="2"/>
  <c r="BC194" i="2"/>
  <c r="BC195" i="2"/>
  <c r="BC196" i="2"/>
  <c r="BC197" i="2"/>
  <c r="BC198" i="2"/>
  <c r="BC199" i="2"/>
  <c r="AM199" i="2" s="1"/>
  <c r="BC200" i="2"/>
  <c r="BC201" i="2"/>
  <c r="BC202" i="2"/>
  <c r="BC203" i="2"/>
  <c r="BC204" i="2"/>
  <c r="BC205" i="2"/>
  <c r="BC206" i="2"/>
  <c r="BC207" i="2"/>
  <c r="BC208" i="2"/>
  <c r="BC209" i="2"/>
  <c r="BC210" i="2"/>
  <c r="BC211" i="2"/>
  <c r="BC212" i="2"/>
  <c r="BC213" i="2"/>
  <c r="BC214" i="2"/>
  <c r="BC215" i="2"/>
  <c r="BC216" i="2"/>
  <c r="BC217" i="2"/>
  <c r="BC218" i="2"/>
  <c r="BC219" i="2"/>
  <c r="BC220" i="2"/>
  <c r="BC221" i="2"/>
  <c r="AM221" i="2" s="1"/>
  <c r="BC222" i="2"/>
  <c r="BC223" i="2"/>
  <c r="BC224" i="2"/>
  <c r="BC225" i="2"/>
  <c r="BC226" i="2"/>
  <c r="BC227" i="2"/>
  <c r="BC228" i="2"/>
  <c r="BC229" i="2"/>
  <c r="BC230" i="2"/>
  <c r="BC231" i="2"/>
  <c r="BC232" i="2"/>
  <c r="BC233" i="2"/>
  <c r="BC234" i="2"/>
  <c r="BC235" i="2"/>
  <c r="BC236" i="2"/>
  <c r="BC237" i="2"/>
  <c r="BC238" i="2"/>
  <c r="BC239" i="2"/>
  <c r="BC240" i="2"/>
  <c r="BC241" i="2"/>
  <c r="BC242" i="2"/>
  <c r="BC243" i="2"/>
  <c r="BC244" i="2"/>
  <c r="BC245" i="2"/>
  <c r="BC246" i="2"/>
  <c r="BC247" i="2"/>
  <c r="AM247" i="2" s="1"/>
  <c r="BC248" i="2"/>
  <c r="BC249" i="2"/>
  <c r="BC250" i="2"/>
  <c r="BC251" i="2"/>
  <c r="BC252" i="2"/>
  <c r="BC253" i="2"/>
  <c r="BC254" i="2"/>
  <c r="BC255" i="2"/>
  <c r="BC256" i="2"/>
  <c r="BC257" i="2"/>
  <c r="BC258" i="2"/>
  <c r="BC259" i="2"/>
  <c r="BC260" i="2"/>
  <c r="BC261" i="2"/>
  <c r="BC262" i="2"/>
  <c r="BC263" i="2"/>
  <c r="BC264" i="2"/>
  <c r="BC265" i="2"/>
  <c r="BC266" i="2"/>
  <c r="BC267" i="2"/>
  <c r="AM267" i="2" s="1"/>
  <c r="BC268" i="2"/>
  <c r="BC269" i="2"/>
  <c r="BC270" i="2"/>
  <c r="BC271" i="2"/>
  <c r="BC272" i="2"/>
  <c r="BC273" i="2"/>
  <c r="BC274" i="2"/>
  <c r="BC275" i="2"/>
  <c r="BC276" i="2"/>
  <c r="BC277" i="2"/>
  <c r="BC278" i="2"/>
  <c r="BC279" i="2"/>
  <c r="BC280" i="2"/>
  <c r="BC281" i="2"/>
  <c r="BC282" i="2"/>
  <c r="BC283" i="2"/>
  <c r="BC284" i="2"/>
  <c r="BC285" i="2"/>
  <c r="BC286" i="2"/>
  <c r="BC287" i="2"/>
  <c r="BC288" i="2"/>
  <c r="BC289" i="2"/>
  <c r="BC290" i="2"/>
  <c r="BC291" i="2"/>
  <c r="AM291" i="2" s="1"/>
  <c r="BC292" i="2"/>
  <c r="BC293" i="2"/>
  <c r="BC294" i="2"/>
  <c r="BC295" i="2"/>
  <c r="BC296" i="2"/>
  <c r="BC297" i="2"/>
  <c r="BC298" i="2"/>
  <c r="BC299" i="2"/>
  <c r="BC300" i="2"/>
  <c r="BC301" i="2"/>
  <c r="BC302" i="2"/>
  <c r="AM302" i="2" s="1"/>
  <c r="BC55" i="2"/>
  <c r="AM88" i="2"/>
  <c r="AM232" i="2"/>
  <c r="AM243" i="2"/>
  <c r="AW17" i="2"/>
  <c r="AW16" i="2"/>
  <c r="AW15" i="2"/>
  <c r="AT31" i="2"/>
  <c r="AT30" i="2"/>
  <c r="AT29" i="2"/>
  <c r="AT28" i="2"/>
  <c r="AT27" i="2"/>
  <c r="AT26" i="2"/>
  <c r="AT23" i="2"/>
  <c r="AT24" i="2"/>
  <c r="AT25" i="2"/>
  <c r="AT22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5" i="2"/>
  <c r="AW6" i="2"/>
  <c r="AW7" i="2"/>
  <c r="AW8" i="2"/>
  <c r="AW9" i="2"/>
  <c r="AW10" i="2"/>
  <c r="AW11" i="2"/>
  <c r="AW12" i="2"/>
  <c r="AW13" i="2"/>
  <c r="AW14" i="2"/>
  <c r="AW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5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14" i="2"/>
  <c r="BC36" i="2"/>
  <c r="BC35" i="2"/>
  <c r="AL302" i="2"/>
  <c r="AK302" i="2"/>
  <c r="AN302" i="2" s="1"/>
  <c r="AI302" i="2"/>
  <c r="AF302" i="2"/>
  <c r="AL301" i="2"/>
  <c r="AK301" i="2"/>
  <c r="AN301" i="2" s="1"/>
  <c r="AI301" i="2"/>
  <c r="AF301" i="2"/>
  <c r="AL300" i="2"/>
  <c r="AK300" i="2"/>
  <c r="AN300" i="2" s="1"/>
  <c r="AI300" i="2"/>
  <c r="AF300" i="2"/>
  <c r="AL299" i="2"/>
  <c r="AK299" i="2"/>
  <c r="AN299" i="2" s="1"/>
  <c r="AI299" i="2"/>
  <c r="AF299" i="2"/>
  <c r="AL298" i="2"/>
  <c r="AK298" i="2"/>
  <c r="AN298" i="2" s="1"/>
  <c r="AI298" i="2"/>
  <c r="AF298" i="2"/>
  <c r="AL297" i="2"/>
  <c r="AK297" i="2"/>
  <c r="AN297" i="2" s="1"/>
  <c r="AI297" i="2"/>
  <c r="AF297" i="2"/>
  <c r="AL296" i="2"/>
  <c r="AK296" i="2"/>
  <c r="AN296" i="2" s="1"/>
  <c r="AI296" i="2"/>
  <c r="AF296" i="2"/>
  <c r="AL295" i="2"/>
  <c r="AK295" i="2"/>
  <c r="AN295" i="2" s="1"/>
  <c r="AI295" i="2"/>
  <c r="AF295" i="2"/>
  <c r="AL294" i="2"/>
  <c r="AK294" i="2"/>
  <c r="AN294" i="2" s="1"/>
  <c r="AI294" i="2"/>
  <c r="AF294" i="2"/>
  <c r="AL293" i="2"/>
  <c r="AK293" i="2"/>
  <c r="AN293" i="2" s="1"/>
  <c r="AI293" i="2"/>
  <c r="AF293" i="2"/>
  <c r="AL292" i="2"/>
  <c r="AK292" i="2"/>
  <c r="AN292" i="2" s="1"/>
  <c r="AI292" i="2"/>
  <c r="AF292" i="2"/>
  <c r="AL291" i="2"/>
  <c r="AK291" i="2"/>
  <c r="AN291" i="2" s="1"/>
  <c r="AI291" i="2"/>
  <c r="AF291" i="2"/>
  <c r="AL290" i="2"/>
  <c r="AK290" i="2"/>
  <c r="AN290" i="2" s="1"/>
  <c r="AI290" i="2"/>
  <c r="AF290" i="2"/>
  <c r="AL289" i="2"/>
  <c r="AK289" i="2"/>
  <c r="AN289" i="2" s="1"/>
  <c r="AI289" i="2"/>
  <c r="AF289" i="2"/>
  <c r="AL288" i="2"/>
  <c r="AK288" i="2"/>
  <c r="AN288" i="2" s="1"/>
  <c r="AI288" i="2"/>
  <c r="AF288" i="2"/>
  <c r="AL287" i="2"/>
  <c r="AK287" i="2"/>
  <c r="AN287" i="2" s="1"/>
  <c r="AI287" i="2"/>
  <c r="AF287" i="2"/>
  <c r="AL286" i="2"/>
  <c r="AK286" i="2"/>
  <c r="AN286" i="2" s="1"/>
  <c r="AI286" i="2"/>
  <c r="AF286" i="2"/>
  <c r="AL285" i="2"/>
  <c r="AK285" i="2"/>
  <c r="AN285" i="2" s="1"/>
  <c r="AI285" i="2"/>
  <c r="AF285" i="2"/>
  <c r="AM285" i="2" s="1"/>
  <c r="AL284" i="2"/>
  <c r="AK284" i="2"/>
  <c r="AN284" i="2" s="1"/>
  <c r="AI284" i="2"/>
  <c r="AF284" i="2"/>
  <c r="AL283" i="2"/>
  <c r="AK283" i="2"/>
  <c r="AN283" i="2" s="1"/>
  <c r="AI283" i="2"/>
  <c r="AF283" i="2"/>
  <c r="AN282" i="2"/>
  <c r="AL282" i="2"/>
  <c r="AK282" i="2"/>
  <c r="AI282" i="2"/>
  <c r="AF282" i="2"/>
  <c r="AL281" i="2"/>
  <c r="AK281" i="2"/>
  <c r="AN281" i="2" s="1"/>
  <c r="AI281" i="2"/>
  <c r="AF281" i="2"/>
  <c r="AL280" i="2"/>
  <c r="AK280" i="2"/>
  <c r="AN280" i="2" s="1"/>
  <c r="AI280" i="2"/>
  <c r="AF280" i="2"/>
  <c r="AL279" i="2"/>
  <c r="AK279" i="2"/>
  <c r="AN279" i="2" s="1"/>
  <c r="AI279" i="2"/>
  <c r="AF279" i="2"/>
  <c r="AL278" i="2"/>
  <c r="AK278" i="2"/>
  <c r="AN278" i="2" s="1"/>
  <c r="AI278" i="2"/>
  <c r="AF278" i="2"/>
  <c r="AL277" i="2"/>
  <c r="AK277" i="2"/>
  <c r="AN277" i="2" s="1"/>
  <c r="AI277" i="2"/>
  <c r="AF277" i="2"/>
  <c r="AL276" i="2"/>
  <c r="AK276" i="2"/>
  <c r="AN276" i="2" s="1"/>
  <c r="AI276" i="2"/>
  <c r="AF276" i="2"/>
  <c r="AL275" i="2"/>
  <c r="AK275" i="2"/>
  <c r="AN275" i="2" s="1"/>
  <c r="AI275" i="2"/>
  <c r="AF275" i="2"/>
  <c r="AM275" i="2" s="1"/>
  <c r="AL274" i="2"/>
  <c r="AK274" i="2"/>
  <c r="AN274" i="2" s="1"/>
  <c r="AI274" i="2"/>
  <c r="AF274" i="2"/>
  <c r="AM274" i="2" s="1"/>
  <c r="AL273" i="2"/>
  <c r="AK273" i="2"/>
  <c r="AN273" i="2" s="1"/>
  <c r="AI273" i="2"/>
  <c r="AF273" i="2"/>
  <c r="AL272" i="2"/>
  <c r="AK272" i="2"/>
  <c r="AN272" i="2" s="1"/>
  <c r="AI272" i="2"/>
  <c r="AF272" i="2"/>
  <c r="AL271" i="2"/>
  <c r="AK271" i="2"/>
  <c r="AN271" i="2" s="1"/>
  <c r="AI271" i="2"/>
  <c r="AF271" i="2"/>
  <c r="AL270" i="2"/>
  <c r="AK270" i="2"/>
  <c r="AN270" i="2" s="1"/>
  <c r="AI270" i="2"/>
  <c r="AF270" i="2"/>
  <c r="AL269" i="2"/>
  <c r="AK269" i="2"/>
  <c r="AN269" i="2" s="1"/>
  <c r="AI269" i="2"/>
  <c r="AF269" i="2"/>
  <c r="AM269" i="2" s="1"/>
  <c r="AL268" i="2"/>
  <c r="AK268" i="2"/>
  <c r="AN268" i="2" s="1"/>
  <c r="AI268" i="2"/>
  <c r="AF268" i="2"/>
  <c r="AL267" i="2"/>
  <c r="AK267" i="2"/>
  <c r="AN267" i="2" s="1"/>
  <c r="AI267" i="2"/>
  <c r="AF267" i="2"/>
  <c r="AL266" i="2"/>
  <c r="AK266" i="2"/>
  <c r="AN266" i="2" s="1"/>
  <c r="AI266" i="2"/>
  <c r="AF266" i="2"/>
  <c r="AL265" i="2"/>
  <c r="AK265" i="2"/>
  <c r="AN265" i="2" s="1"/>
  <c r="AI265" i="2"/>
  <c r="AF265" i="2"/>
  <c r="AL264" i="2"/>
  <c r="AK264" i="2"/>
  <c r="AN264" i="2" s="1"/>
  <c r="AI264" i="2"/>
  <c r="AF264" i="2"/>
  <c r="AM264" i="2" s="1"/>
  <c r="AL263" i="2"/>
  <c r="AK263" i="2"/>
  <c r="AN263" i="2" s="1"/>
  <c r="AI263" i="2"/>
  <c r="AF263" i="2"/>
  <c r="AM263" i="2" s="1"/>
  <c r="AL262" i="2"/>
  <c r="AK262" i="2"/>
  <c r="AN262" i="2" s="1"/>
  <c r="AI262" i="2"/>
  <c r="AF262" i="2"/>
  <c r="AL261" i="2"/>
  <c r="AK261" i="2"/>
  <c r="AN261" i="2" s="1"/>
  <c r="AI261" i="2"/>
  <c r="AF261" i="2"/>
  <c r="AM261" i="2" s="1"/>
  <c r="AL260" i="2"/>
  <c r="AK260" i="2"/>
  <c r="AN260" i="2" s="1"/>
  <c r="AI260" i="2"/>
  <c r="AF260" i="2"/>
  <c r="AL259" i="2"/>
  <c r="AK259" i="2"/>
  <c r="AN259" i="2" s="1"/>
  <c r="AI259" i="2"/>
  <c r="AF259" i="2"/>
  <c r="AN258" i="2"/>
  <c r="AL258" i="2"/>
  <c r="AK258" i="2"/>
  <c r="AI258" i="2"/>
  <c r="AF258" i="2"/>
  <c r="AM258" i="2" s="1"/>
  <c r="AL257" i="2"/>
  <c r="AK257" i="2"/>
  <c r="AN257" i="2" s="1"/>
  <c r="AI257" i="2"/>
  <c r="AF257" i="2"/>
  <c r="AL256" i="2"/>
  <c r="AK256" i="2"/>
  <c r="AN256" i="2" s="1"/>
  <c r="AI256" i="2"/>
  <c r="AF256" i="2"/>
  <c r="AL255" i="2"/>
  <c r="AK255" i="2"/>
  <c r="AN255" i="2" s="1"/>
  <c r="AI255" i="2"/>
  <c r="AF255" i="2"/>
  <c r="AL254" i="2"/>
  <c r="AK254" i="2"/>
  <c r="AN254" i="2" s="1"/>
  <c r="AI254" i="2"/>
  <c r="AF254" i="2"/>
  <c r="AM254" i="2" s="1"/>
  <c r="AL253" i="2"/>
  <c r="AK253" i="2"/>
  <c r="AN253" i="2" s="1"/>
  <c r="AI253" i="2"/>
  <c r="AF253" i="2"/>
  <c r="AL252" i="2"/>
  <c r="AK252" i="2"/>
  <c r="AN252" i="2" s="1"/>
  <c r="AI252" i="2"/>
  <c r="AF252" i="2"/>
  <c r="AL251" i="2"/>
  <c r="AK251" i="2"/>
  <c r="AN251" i="2" s="1"/>
  <c r="AI251" i="2"/>
  <c r="AF251" i="2"/>
  <c r="AL250" i="2"/>
  <c r="AK250" i="2"/>
  <c r="AN250" i="2" s="1"/>
  <c r="AI250" i="2"/>
  <c r="AF250" i="2"/>
  <c r="AL249" i="2"/>
  <c r="AK249" i="2"/>
  <c r="AN249" i="2" s="1"/>
  <c r="AI249" i="2"/>
  <c r="AF249" i="2"/>
  <c r="AL248" i="2"/>
  <c r="AK248" i="2"/>
  <c r="AN248" i="2" s="1"/>
  <c r="AI248" i="2"/>
  <c r="AF248" i="2"/>
  <c r="AL247" i="2"/>
  <c r="AK247" i="2"/>
  <c r="AN247" i="2" s="1"/>
  <c r="AI247" i="2"/>
  <c r="AF247" i="2"/>
  <c r="AL246" i="2"/>
  <c r="AK246" i="2"/>
  <c r="AN246" i="2" s="1"/>
  <c r="AI246" i="2"/>
  <c r="AF246" i="2"/>
  <c r="AL245" i="2"/>
  <c r="AK245" i="2"/>
  <c r="AN245" i="2" s="1"/>
  <c r="AI245" i="2"/>
  <c r="AF245" i="2"/>
  <c r="AL244" i="2"/>
  <c r="AK244" i="2"/>
  <c r="AN244" i="2" s="1"/>
  <c r="AI244" i="2"/>
  <c r="AF244" i="2"/>
  <c r="AL243" i="2"/>
  <c r="AK243" i="2"/>
  <c r="AN243" i="2" s="1"/>
  <c r="AI243" i="2"/>
  <c r="AF243" i="2"/>
  <c r="AL242" i="2"/>
  <c r="AK242" i="2"/>
  <c r="AN242" i="2" s="1"/>
  <c r="AI242" i="2"/>
  <c r="AF242" i="2"/>
  <c r="AL241" i="2"/>
  <c r="AK241" i="2"/>
  <c r="AN241" i="2" s="1"/>
  <c r="AI241" i="2"/>
  <c r="AF241" i="2"/>
  <c r="AL240" i="2"/>
  <c r="AK240" i="2"/>
  <c r="AN240" i="2" s="1"/>
  <c r="AI240" i="2"/>
  <c r="AF240" i="2"/>
  <c r="AM240" i="2" s="1"/>
  <c r="AL239" i="2"/>
  <c r="AK239" i="2"/>
  <c r="AN239" i="2" s="1"/>
  <c r="AI239" i="2"/>
  <c r="AF239" i="2"/>
  <c r="AL238" i="2"/>
  <c r="AK238" i="2"/>
  <c r="AN238" i="2" s="1"/>
  <c r="AI238" i="2"/>
  <c r="AF238" i="2"/>
  <c r="AL237" i="2"/>
  <c r="AK237" i="2"/>
  <c r="AN237" i="2" s="1"/>
  <c r="AI237" i="2"/>
  <c r="AF237" i="2"/>
  <c r="AM237" i="2" s="1"/>
  <c r="AL236" i="2"/>
  <c r="AK236" i="2"/>
  <c r="AN236" i="2" s="1"/>
  <c r="AI236" i="2"/>
  <c r="AF236" i="2"/>
  <c r="AM236" i="2" s="1"/>
  <c r="AL235" i="2"/>
  <c r="AK235" i="2"/>
  <c r="AN235" i="2" s="1"/>
  <c r="AI235" i="2"/>
  <c r="AF235" i="2"/>
  <c r="AL234" i="2"/>
  <c r="AK234" i="2"/>
  <c r="AN234" i="2" s="1"/>
  <c r="AI234" i="2"/>
  <c r="AF234" i="2"/>
  <c r="AL233" i="2"/>
  <c r="AK233" i="2"/>
  <c r="AN233" i="2" s="1"/>
  <c r="AI233" i="2"/>
  <c r="AF233" i="2"/>
  <c r="AN232" i="2"/>
  <c r="AL232" i="2"/>
  <c r="AK232" i="2"/>
  <c r="AI232" i="2"/>
  <c r="AF232" i="2"/>
  <c r="AL231" i="2"/>
  <c r="AK231" i="2"/>
  <c r="AN231" i="2" s="1"/>
  <c r="AI231" i="2"/>
  <c r="AF231" i="2"/>
  <c r="AL230" i="2"/>
  <c r="AK230" i="2"/>
  <c r="AN230" i="2" s="1"/>
  <c r="AI230" i="2"/>
  <c r="AF230" i="2"/>
  <c r="AL229" i="2"/>
  <c r="AK229" i="2"/>
  <c r="AN229" i="2" s="1"/>
  <c r="AI229" i="2"/>
  <c r="AF229" i="2"/>
  <c r="AM229" i="2" s="1"/>
  <c r="AL228" i="2"/>
  <c r="AK228" i="2"/>
  <c r="AN228" i="2" s="1"/>
  <c r="AI228" i="2"/>
  <c r="AF228" i="2"/>
  <c r="AL227" i="2"/>
  <c r="AK227" i="2"/>
  <c r="AN227" i="2" s="1"/>
  <c r="AI227" i="2"/>
  <c r="AF227" i="2"/>
  <c r="AL226" i="2"/>
  <c r="AK226" i="2"/>
  <c r="AN226" i="2" s="1"/>
  <c r="AI226" i="2"/>
  <c r="AF226" i="2"/>
  <c r="AM226" i="2" s="1"/>
  <c r="AL225" i="2"/>
  <c r="AK225" i="2"/>
  <c r="AN225" i="2" s="1"/>
  <c r="AI225" i="2"/>
  <c r="AF225" i="2"/>
  <c r="AL224" i="2"/>
  <c r="AK224" i="2"/>
  <c r="AN224" i="2" s="1"/>
  <c r="AI224" i="2"/>
  <c r="AF224" i="2"/>
  <c r="AL223" i="2"/>
  <c r="AK223" i="2"/>
  <c r="AN223" i="2" s="1"/>
  <c r="AI223" i="2"/>
  <c r="AF223" i="2"/>
  <c r="AL222" i="2"/>
  <c r="AK222" i="2"/>
  <c r="AN222" i="2" s="1"/>
  <c r="AI222" i="2"/>
  <c r="AF222" i="2"/>
  <c r="AL221" i="2"/>
  <c r="AK221" i="2"/>
  <c r="AN221" i="2" s="1"/>
  <c r="AI221" i="2"/>
  <c r="AF221" i="2"/>
  <c r="AL220" i="2"/>
  <c r="AK220" i="2"/>
  <c r="AN220" i="2" s="1"/>
  <c r="AI220" i="2"/>
  <c r="AF220" i="2"/>
  <c r="AL219" i="2"/>
  <c r="AK219" i="2"/>
  <c r="AN219" i="2" s="1"/>
  <c r="AI219" i="2"/>
  <c r="AF219" i="2"/>
  <c r="AL218" i="2"/>
  <c r="AK218" i="2"/>
  <c r="AN218" i="2" s="1"/>
  <c r="AI218" i="2"/>
  <c r="AF218" i="2"/>
  <c r="AL217" i="2"/>
  <c r="AK217" i="2"/>
  <c r="AN217" i="2" s="1"/>
  <c r="AI217" i="2"/>
  <c r="AF217" i="2"/>
  <c r="AL216" i="2"/>
  <c r="AK216" i="2"/>
  <c r="AN216" i="2" s="1"/>
  <c r="AI216" i="2"/>
  <c r="AF216" i="2"/>
  <c r="AL215" i="2"/>
  <c r="AK215" i="2"/>
  <c r="AN215" i="2" s="1"/>
  <c r="AI215" i="2"/>
  <c r="AF215" i="2"/>
  <c r="AM215" i="2" s="1"/>
  <c r="AL214" i="2"/>
  <c r="AK214" i="2"/>
  <c r="AN214" i="2" s="1"/>
  <c r="AI214" i="2"/>
  <c r="AF214" i="2"/>
  <c r="AM214" i="2" s="1"/>
  <c r="AL213" i="2"/>
  <c r="AK213" i="2"/>
  <c r="AN213" i="2" s="1"/>
  <c r="AI213" i="2"/>
  <c r="AF213" i="2"/>
  <c r="AL212" i="2"/>
  <c r="AK212" i="2"/>
  <c r="AN212" i="2" s="1"/>
  <c r="AI212" i="2"/>
  <c r="AF212" i="2"/>
  <c r="AL211" i="2"/>
  <c r="AK211" i="2"/>
  <c r="AN211" i="2" s="1"/>
  <c r="AI211" i="2"/>
  <c r="AF211" i="2"/>
  <c r="AL210" i="2"/>
  <c r="AK210" i="2"/>
  <c r="AN210" i="2" s="1"/>
  <c r="AI210" i="2"/>
  <c r="AF210" i="2"/>
  <c r="AL209" i="2"/>
  <c r="AK209" i="2"/>
  <c r="AN209" i="2" s="1"/>
  <c r="AI209" i="2"/>
  <c r="AF209" i="2"/>
  <c r="AL208" i="2"/>
  <c r="AK208" i="2"/>
  <c r="AN208" i="2" s="1"/>
  <c r="AI208" i="2"/>
  <c r="AF208" i="2"/>
  <c r="AL207" i="2"/>
  <c r="AK207" i="2"/>
  <c r="AN207" i="2" s="1"/>
  <c r="AI207" i="2"/>
  <c r="AF207" i="2"/>
  <c r="AL206" i="2"/>
  <c r="AK206" i="2"/>
  <c r="AN206" i="2" s="1"/>
  <c r="AI206" i="2"/>
  <c r="AF206" i="2"/>
  <c r="AL205" i="2"/>
  <c r="AK205" i="2"/>
  <c r="AN205" i="2" s="1"/>
  <c r="AI205" i="2"/>
  <c r="AF205" i="2"/>
  <c r="AL204" i="2"/>
  <c r="AK204" i="2"/>
  <c r="AN204" i="2" s="1"/>
  <c r="AI204" i="2"/>
  <c r="AF204" i="2"/>
  <c r="AL203" i="2"/>
  <c r="AK203" i="2"/>
  <c r="AN203" i="2" s="1"/>
  <c r="AI203" i="2"/>
  <c r="AF203" i="2"/>
  <c r="AL202" i="2"/>
  <c r="AK202" i="2"/>
  <c r="AN202" i="2" s="1"/>
  <c r="AI202" i="2"/>
  <c r="AF202" i="2"/>
  <c r="AL201" i="2"/>
  <c r="AK201" i="2"/>
  <c r="AN201" i="2" s="1"/>
  <c r="AI201" i="2"/>
  <c r="AF201" i="2"/>
  <c r="AL200" i="2"/>
  <c r="AK200" i="2"/>
  <c r="AN200" i="2" s="1"/>
  <c r="AI200" i="2"/>
  <c r="AF200" i="2"/>
  <c r="AL199" i="2"/>
  <c r="AK199" i="2"/>
  <c r="AN199" i="2" s="1"/>
  <c r="AI199" i="2"/>
  <c r="AF199" i="2"/>
  <c r="AL198" i="2"/>
  <c r="AK198" i="2"/>
  <c r="AN198" i="2" s="1"/>
  <c r="AI198" i="2"/>
  <c r="AF198" i="2"/>
  <c r="AL197" i="2"/>
  <c r="AK197" i="2"/>
  <c r="AN197" i="2" s="1"/>
  <c r="AI197" i="2"/>
  <c r="AF197" i="2"/>
  <c r="AL196" i="2"/>
  <c r="AK196" i="2"/>
  <c r="AN196" i="2" s="1"/>
  <c r="AI196" i="2"/>
  <c r="AF196" i="2"/>
  <c r="AL195" i="2"/>
  <c r="AK195" i="2"/>
  <c r="AN195" i="2" s="1"/>
  <c r="AI195" i="2"/>
  <c r="AF195" i="2"/>
  <c r="AL194" i="2"/>
  <c r="AK194" i="2"/>
  <c r="AN194" i="2" s="1"/>
  <c r="AI194" i="2"/>
  <c r="AF194" i="2"/>
  <c r="AL193" i="2"/>
  <c r="AK193" i="2"/>
  <c r="AN193" i="2" s="1"/>
  <c r="AI193" i="2"/>
  <c r="AF193" i="2"/>
  <c r="AL192" i="2"/>
  <c r="AK192" i="2"/>
  <c r="AN192" i="2" s="1"/>
  <c r="AI192" i="2"/>
  <c r="AF192" i="2"/>
  <c r="AL191" i="2"/>
  <c r="AK191" i="2"/>
  <c r="AN191" i="2" s="1"/>
  <c r="AI191" i="2"/>
  <c r="AF191" i="2"/>
  <c r="AM191" i="2" s="1"/>
  <c r="AL190" i="2"/>
  <c r="AK190" i="2"/>
  <c r="AN190" i="2" s="1"/>
  <c r="AI190" i="2"/>
  <c r="AF190" i="2"/>
  <c r="AL189" i="2"/>
  <c r="AK189" i="2"/>
  <c r="AN189" i="2" s="1"/>
  <c r="AI189" i="2"/>
  <c r="AF189" i="2"/>
  <c r="AN188" i="2"/>
  <c r="AL188" i="2"/>
  <c r="AK188" i="2"/>
  <c r="AI188" i="2"/>
  <c r="AF188" i="2"/>
  <c r="AL187" i="2"/>
  <c r="AK187" i="2"/>
  <c r="AN187" i="2" s="1"/>
  <c r="AI187" i="2"/>
  <c r="AF187" i="2"/>
  <c r="AL186" i="2"/>
  <c r="AK186" i="2"/>
  <c r="AN186" i="2" s="1"/>
  <c r="AI186" i="2"/>
  <c r="AF186" i="2"/>
  <c r="AL185" i="2"/>
  <c r="AK185" i="2"/>
  <c r="AN185" i="2" s="1"/>
  <c r="AI185" i="2"/>
  <c r="AF185" i="2"/>
  <c r="AL184" i="2"/>
  <c r="AK184" i="2"/>
  <c r="AN184" i="2" s="1"/>
  <c r="AI184" i="2"/>
  <c r="AF184" i="2"/>
  <c r="AL183" i="2"/>
  <c r="AK183" i="2"/>
  <c r="AN183" i="2" s="1"/>
  <c r="AI183" i="2"/>
  <c r="AF183" i="2"/>
  <c r="AM182" i="2"/>
  <c r="AL182" i="2"/>
  <c r="AK182" i="2"/>
  <c r="AN182" i="2" s="1"/>
  <c r="AI182" i="2"/>
  <c r="AF182" i="2"/>
  <c r="AL181" i="2"/>
  <c r="AK181" i="2"/>
  <c r="AN181" i="2" s="1"/>
  <c r="AI181" i="2"/>
  <c r="AF181" i="2"/>
  <c r="AL180" i="2"/>
  <c r="AK180" i="2"/>
  <c r="AN180" i="2" s="1"/>
  <c r="AI180" i="2"/>
  <c r="AF180" i="2"/>
  <c r="AL179" i="2"/>
  <c r="AK179" i="2"/>
  <c r="AN179" i="2" s="1"/>
  <c r="AI179" i="2"/>
  <c r="AF179" i="2"/>
  <c r="AM179" i="2" s="1"/>
  <c r="AL178" i="2"/>
  <c r="AK178" i="2"/>
  <c r="AN178" i="2" s="1"/>
  <c r="AI178" i="2"/>
  <c r="AF178" i="2"/>
  <c r="AL177" i="2"/>
  <c r="AK177" i="2"/>
  <c r="AN177" i="2" s="1"/>
  <c r="AI177" i="2"/>
  <c r="AF177" i="2"/>
  <c r="AM177" i="2" s="1"/>
  <c r="AL176" i="2"/>
  <c r="AK176" i="2"/>
  <c r="AN176" i="2" s="1"/>
  <c r="AI176" i="2"/>
  <c r="AF176" i="2"/>
  <c r="AL175" i="2"/>
  <c r="AK175" i="2"/>
  <c r="AN175" i="2" s="1"/>
  <c r="AI175" i="2"/>
  <c r="AF175" i="2"/>
  <c r="AL174" i="2"/>
  <c r="AK174" i="2"/>
  <c r="AN174" i="2" s="1"/>
  <c r="AI174" i="2"/>
  <c r="AF174" i="2"/>
  <c r="AL173" i="2"/>
  <c r="AK173" i="2"/>
  <c r="AN173" i="2" s="1"/>
  <c r="AI173" i="2"/>
  <c r="AF173" i="2"/>
  <c r="AL172" i="2"/>
  <c r="AK172" i="2"/>
  <c r="AN172" i="2" s="1"/>
  <c r="AI172" i="2"/>
  <c r="AF172" i="2"/>
  <c r="AL171" i="2"/>
  <c r="AK171" i="2"/>
  <c r="AN171" i="2" s="1"/>
  <c r="AI171" i="2"/>
  <c r="AF171" i="2"/>
  <c r="AL170" i="2"/>
  <c r="AK170" i="2"/>
  <c r="AN170" i="2" s="1"/>
  <c r="AI170" i="2"/>
  <c r="AF170" i="2"/>
  <c r="AL169" i="2"/>
  <c r="AK169" i="2"/>
  <c r="AN169" i="2" s="1"/>
  <c r="AI169" i="2"/>
  <c r="AF169" i="2"/>
  <c r="AL168" i="2"/>
  <c r="AK168" i="2"/>
  <c r="AN168" i="2" s="1"/>
  <c r="AI168" i="2"/>
  <c r="AF168" i="2"/>
  <c r="AM168" i="2" s="1"/>
  <c r="AL167" i="2"/>
  <c r="AK167" i="2"/>
  <c r="AN167" i="2" s="1"/>
  <c r="AI167" i="2"/>
  <c r="AF167" i="2"/>
  <c r="AL166" i="2"/>
  <c r="AK166" i="2"/>
  <c r="AN166" i="2" s="1"/>
  <c r="AI166" i="2"/>
  <c r="AF166" i="2"/>
  <c r="AL165" i="2"/>
  <c r="AK165" i="2"/>
  <c r="AN165" i="2" s="1"/>
  <c r="AI165" i="2"/>
  <c r="AF165" i="2"/>
  <c r="AM165" i="2" s="1"/>
  <c r="AL164" i="2"/>
  <c r="AK164" i="2"/>
  <c r="AN164" i="2" s="1"/>
  <c r="AI164" i="2"/>
  <c r="AF164" i="2"/>
  <c r="AL163" i="2"/>
  <c r="AK163" i="2"/>
  <c r="AN163" i="2" s="1"/>
  <c r="AI163" i="2"/>
  <c r="AF163" i="2"/>
  <c r="AL162" i="2"/>
  <c r="AK162" i="2"/>
  <c r="AN162" i="2" s="1"/>
  <c r="AI162" i="2"/>
  <c r="AF162" i="2"/>
  <c r="AL161" i="2"/>
  <c r="AK161" i="2"/>
  <c r="AN161" i="2" s="1"/>
  <c r="AI161" i="2"/>
  <c r="AF161" i="2"/>
  <c r="AL160" i="2"/>
  <c r="AK160" i="2"/>
  <c r="AN160" i="2" s="1"/>
  <c r="AI160" i="2"/>
  <c r="AF160" i="2"/>
  <c r="AL159" i="2"/>
  <c r="AK159" i="2"/>
  <c r="AN159" i="2" s="1"/>
  <c r="AI159" i="2"/>
  <c r="AF159" i="2"/>
  <c r="AL158" i="2"/>
  <c r="AK158" i="2"/>
  <c r="AN158" i="2" s="1"/>
  <c r="AI158" i="2"/>
  <c r="AF158" i="2"/>
  <c r="AM158" i="2" s="1"/>
  <c r="AL157" i="2"/>
  <c r="AK157" i="2"/>
  <c r="AN157" i="2" s="1"/>
  <c r="AI157" i="2"/>
  <c r="AF157" i="2"/>
  <c r="AL156" i="2"/>
  <c r="AK156" i="2"/>
  <c r="AN156" i="2" s="1"/>
  <c r="AI156" i="2"/>
  <c r="AF156" i="2"/>
  <c r="AL155" i="2"/>
  <c r="AK155" i="2"/>
  <c r="AN155" i="2" s="1"/>
  <c r="AI155" i="2"/>
  <c r="AF155" i="2"/>
  <c r="AL154" i="2"/>
  <c r="AK154" i="2"/>
  <c r="AN154" i="2" s="1"/>
  <c r="AI154" i="2"/>
  <c r="AF154" i="2"/>
  <c r="AL153" i="2"/>
  <c r="AK153" i="2"/>
  <c r="AN153" i="2" s="1"/>
  <c r="AI153" i="2"/>
  <c r="AF153" i="2"/>
  <c r="AM153" i="2" s="1"/>
  <c r="AL152" i="2"/>
  <c r="AK152" i="2"/>
  <c r="AN152" i="2" s="1"/>
  <c r="AI152" i="2"/>
  <c r="AF152" i="2"/>
  <c r="AL151" i="2"/>
  <c r="AK151" i="2"/>
  <c r="AN151" i="2" s="1"/>
  <c r="AI151" i="2"/>
  <c r="AF151" i="2"/>
  <c r="AN150" i="2"/>
  <c r="AL150" i="2"/>
  <c r="AK150" i="2"/>
  <c r="AI150" i="2"/>
  <c r="AF150" i="2"/>
  <c r="AL149" i="2"/>
  <c r="AK149" i="2"/>
  <c r="AN149" i="2" s="1"/>
  <c r="AI149" i="2"/>
  <c r="AF149" i="2"/>
  <c r="AL148" i="2"/>
  <c r="AK148" i="2"/>
  <c r="AN148" i="2" s="1"/>
  <c r="AI148" i="2"/>
  <c r="AF148" i="2"/>
  <c r="AL147" i="2"/>
  <c r="AK147" i="2"/>
  <c r="AN147" i="2" s="1"/>
  <c r="AI147" i="2"/>
  <c r="AF147" i="2"/>
  <c r="AL146" i="2"/>
  <c r="AK146" i="2"/>
  <c r="AN146" i="2" s="1"/>
  <c r="AI146" i="2"/>
  <c r="AF146" i="2"/>
  <c r="AL145" i="2"/>
  <c r="AK145" i="2"/>
  <c r="AN145" i="2" s="1"/>
  <c r="AI145" i="2"/>
  <c r="AF145" i="2"/>
  <c r="AL144" i="2"/>
  <c r="AK144" i="2"/>
  <c r="AN144" i="2" s="1"/>
  <c r="AI144" i="2"/>
  <c r="AF144" i="2"/>
  <c r="AL143" i="2"/>
  <c r="AK143" i="2"/>
  <c r="AN143" i="2" s="1"/>
  <c r="AI143" i="2"/>
  <c r="AF143" i="2"/>
  <c r="AL142" i="2"/>
  <c r="AK142" i="2"/>
  <c r="AN142" i="2" s="1"/>
  <c r="AI142" i="2"/>
  <c r="AF142" i="2"/>
  <c r="AL141" i="2"/>
  <c r="AK141" i="2"/>
  <c r="AN141" i="2" s="1"/>
  <c r="AI141" i="2"/>
  <c r="AF141" i="2"/>
  <c r="AL140" i="2"/>
  <c r="AK140" i="2"/>
  <c r="AN140" i="2" s="1"/>
  <c r="AI140" i="2"/>
  <c r="AF140" i="2"/>
  <c r="AL139" i="2"/>
  <c r="AK139" i="2"/>
  <c r="AN139" i="2" s="1"/>
  <c r="AI139" i="2"/>
  <c r="AF139" i="2"/>
  <c r="AN138" i="2"/>
  <c r="AL138" i="2"/>
  <c r="AK138" i="2"/>
  <c r="AI138" i="2"/>
  <c r="AF138" i="2"/>
  <c r="AL137" i="2"/>
  <c r="AK137" i="2"/>
  <c r="AN137" i="2" s="1"/>
  <c r="AI137" i="2"/>
  <c r="AF137" i="2"/>
  <c r="AN136" i="2"/>
  <c r="AL136" i="2"/>
  <c r="AK136" i="2"/>
  <c r="AI136" i="2"/>
  <c r="AF136" i="2"/>
  <c r="AL135" i="2"/>
  <c r="AK135" i="2"/>
  <c r="AN135" i="2" s="1"/>
  <c r="AI135" i="2"/>
  <c r="AF135" i="2"/>
  <c r="AL134" i="2"/>
  <c r="AK134" i="2"/>
  <c r="AN134" i="2" s="1"/>
  <c r="AI134" i="2"/>
  <c r="AF134" i="2"/>
  <c r="AL133" i="2"/>
  <c r="AK133" i="2"/>
  <c r="AN133" i="2" s="1"/>
  <c r="AI133" i="2"/>
  <c r="AF133" i="2"/>
  <c r="AL132" i="2"/>
  <c r="AK132" i="2"/>
  <c r="AN132" i="2" s="1"/>
  <c r="AI132" i="2"/>
  <c r="AF132" i="2"/>
  <c r="AM132" i="2" s="1"/>
  <c r="AL131" i="2"/>
  <c r="AK131" i="2"/>
  <c r="AN131" i="2" s="1"/>
  <c r="AI131" i="2"/>
  <c r="AF131" i="2"/>
  <c r="AN130" i="2"/>
  <c r="AL130" i="2"/>
  <c r="AK130" i="2"/>
  <c r="AI130" i="2"/>
  <c r="AF130" i="2"/>
  <c r="AL129" i="2"/>
  <c r="AK129" i="2"/>
  <c r="AN129" i="2" s="1"/>
  <c r="AI129" i="2"/>
  <c r="AF129" i="2"/>
  <c r="AN128" i="2"/>
  <c r="AM128" i="2"/>
  <c r="AL128" i="2"/>
  <c r="AK128" i="2"/>
  <c r="AI128" i="2"/>
  <c r="AF128" i="2"/>
  <c r="AL127" i="2"/>
  <c r="AK127" i="2"/>
  <c r="AN127" i="2" s="1"/>
  <c r="AI127" i="2"/>
  <c r="AF127" i="2"/>
  <c r="AL126" i="2"/>
  <c r="AK126" i="2"/>
  <c r="AN126" i="2" s="1"/>
  <c r="AI126" i="2"/>
  <c r="AF126" i="2"/>
  <c r="AN125" i="2"/>
  <c r="AL125" i="2"/>
  <c r="AK125" i="2"/>
  <c r="AI125" i="2"/>
  <c r="AF125" i="2"/>
  <c r="AL124" i="2"/>
  <c r="AK124" i="2"/>
  <c r="AN124" i="2" s="1"/>
  <c r="AI124" i="2"/>
  <c r="AF124" i="2"/>
  <c r="AN123" i="2"/>
  <c r="AL123" i="2"/>
  <c r="AK123" i="2"/>
  <c r="AI123" i="2"/>
  <c r="AF123" i="2"/>
  <c r="AL122" i="2"/>
  <c r="AK122" i="2"/>
  <c r="AN122" i="2" s="1"/>
  <c r="AI122" i="2"/>
  <c r="AF122" i="2"/>
  <c r="AL121" i="2"/>
  <c r="AK121" i="2"/>
  <c r="AN121" i="2" s="1"/>
  <c r="AI121" i="2"/>
  <c r="AF121" i="2"/>
  <c r="AL120" i="2"/>
  <c r="AK120" i="2"/>
  <c r="AN120" i="2" s="1"/>
  <c r="AI120" i="2"/>
  <c r="AF120" i="2"/>
  <c r="AL119" i="2"/>
  <c r="AK119" i="2"/>
  <c r="AN119" i="2" s="1"/>
  <c r="AI119" i="2"/>
  <c r="AF119" i="2"/>
  <c r="AL118" i="2"/>
  <c r="AK118" i="2"/>
  <c r="AN118" i="2" s="1"/>
  <c r="AI118" i="2"/>
  <c r="AF118" i="2"/>
  <c r="AM118" i="2" s="1"/>
  <c r="AN117" i="2"/>
  <c r="AL117" i="2"/>
  <c r="AK117" i="2"/>
  <c r="AI117" i="2"/>
  <c r="AF117" i="2"/>
  <c r="AL116" i="2"/>
  <c r="AK116" i="2"/>
  <c r="AN116" i="2" s="1"/>
  <c r="AI116" i="2"/>
  <c r="AF116" i="2"/>
  <c r="AL115" i="2"/>
  <c r="AK115" i="2"/>
  <c r="AN115" i="2" s="1"/>
  <c r="AI115" i="2"/>
  <c r="AF115" i="2"/>
  <c r="AN114" i="2"/>
  <c r="AL114" i="2"/>
  <c r="AK114" i="2"/>
  <c r="AI114" i="2"/>
  <c r="AF114" i="2"/>
  <c r="AL113" i="2"/>
  <c r="AK113" i="2"/>
  <c r="AN113" i="2" s="1"/>
  <c r="AI113" i="2"/>
  <c r="AF113" i="2"/>
  <c r="AN112" i="2"/>
  <c r="AL112" i="2"/>
  <c r="AK112" i="2"/>
  <c r="AI112" i="2"/>
  <c r="AF112" i="2"/>
  <c r="AL111" i="2"/>
  <c r="AK111" i="2"/>
  <c r="AN111" i="2" s="1"/>
  <c r="AI111" i="2"/>
  <c r="AF111" i="2"/>
  <c r="AL110" i="2"/>
  <c r="AK110" i="2"/>
  <c r="AN110" i="2" s="1"/>
  <c r="AI110" i="2"/>
  <c r="AF110" i="2"/>
  <c r="AL109" i="2"/>
  <c r="AK109" i="2"/>
  <c r="AN109" i="2" s="1"/>
  <c r="AI109" i="2"/>
  <c r="AF109" i="2"/>
  <c r="AL108" i="2"/>
  <c r="AK108" i="2"/>
  <c r="AN108" i="2" s="1"/>
  <c r="AI108" i="2"/>
  <c r="AF108" i="2"/>
  <c r="AM108" i="2" s="1"/>
  <c r="AL107" i="2"/>
  <c r="AK107" i="2"/>
  <c r="AN107" i="2" s="1"/>
  <c r="AI107" i="2"/>
  <c r="AF107" i="2"/>
  <c r="AN106" i="2"/>
  <c r="AL106" i="2"/>
  <c r="AK106" i="2"/>
  <c r="AI106" i="2"/>
  <c r="AF106" i="2"/>
  <c r="AL105" i="2"/>
  <c r="AK105" i="2"/>
  <c r="AN105" i="2" s="1"/>
  <c r="AI105" i="2"/>
  <c r="AF105" i="2"/>
  <c r="AN104" i="2"/>
  <c r="AM104" i="2"/>
  <c r="AL104" i="2"/>
  <c r="AK104" i="2"/>
  <c r="AI104" i="2"/>
  <c r="AF104" i="2"/>
  <c r="AL103" i="2"/>
  <c r="AK103" i="2"/>
  <c r="AN103" i="2" s="1"/>
  <c r="AI103" i="2"/>
  <c r="AF103" i="2"/>
  <c r="AL102" i="2"/>
  <c r="AK102" i="2"/>
  <c r="AN102" i="2" s="1"/>
  <c r="AI102" i="2"/>
  <c r="AM102" i="2" s="1"/>
  <c r="AF102" i="2"/>
  <c r="AN101" i="2"/>
  <c r="AL101" i="2"/>
  <c r="AK101" i="2"/>
  <c r="AI101" i="2"/>
  <c r="AF101" i="2"/>
  <c r="AL100" i="2"/>
  <c r="AK100" i="2"/>
  <c r="AN100" i="2" s="1"/>
  <c r="AI100" i="2"/>
  <c r="AF100" i="2"/>
  <c r="AN99" i="2"/>
  <c r="AL99" i="2"/>
  <c r="AK99" i="2"/>
  <c r="AI99" i="2"/>
  <c r="AF99" i="2"/>
  <c r="AL98" i="2"/>
  <c r="AK98" i="2"/>
  <c r="AN98" i="2" s="1"/>
  <c r="AI98" i="2"/>
  <c r="AF98" i="2"/>
  <c r="AL97" i="2"/>
  <c r="AK97" i="2"/>
  <c r="AN97" i="2" s="1"/>
  <c r="AI97" i="2"/>
  <c r="AF97" i="2"/>
  <c r="AM97" i="2" s="1"/>
  <c r="AL96" i="2"/>
  <c r="AK96" i="2"/>
  <c r="AN96" i="2" s="1"/>
  <c r="AI96" i="2"/>
  <c r="AF96" i="2"/>
  <c r="AL95" i="2"/>
  <c r="AK95" i="2"/>
  <c r="AN95" i="2" s="1"/>
  <c r="AI95" i="2"/>
  <c r="AF95" i="2"/>
  <c r="AL94" i="2"/>
  <c r="AK94" i="2"/>
  <c r="AN94" i="2" s="1"/>
  <c r="AI94" i="2"/>
  <c r="AF94" i="2"/>
  <c r="AM94" i="2" s="1"/>
  <c r="AN93" i="2"/>
  <c r="AL93" i="2"/>
  <c r="AK93" i="2"/>
  <c r="AI93" i="2"/>
  <c r="AF93" i="2"/>
  <c r="AM93" i="2" s="1"/>
  <c r="AL92" i="2"/>
  <c r="AK92" i="2"/>
  <c r="AN92" i="2" s="1"/>
  <c r="AI92" i="2"/>
  <c r="AF92" i="2"/>
  <c r="AL91" i="2"/>
  <c r="AK91" i="2"/>
  <c r="AN91" i="2" s="1"/>
  <c r="AI91" i="2"/>
  <c r="AF91" i="2"/>
  <c r="AN90" i="2"/>
  <c r="AL90" i="2"/>
  <c r="AK90" i="2"/>
  <c r="AI90" i="2"/>
  <c r="AF90" i="2"/>
  <c r="AL89" i="2"/>
  <c r="AK89" i="2"/>
  <c r="AN89" i="2" s="1"/>
  <c r="AI89" i="2"/>
  <c r="AF89" i="2"/>
  <c r="AN88" i="2"/>
  <c r="AL88" i="2"/>
  <c r="AK88" i="2"/>
  <c r="AI88" i="2"/>
  <c r="AF88" i="2"/>
  <c r="AL87" i="2"/>
  <c r="AK87" i="2"/>
  <c r="AN87" i="2" s="1"/>
  <c r="AI87" i="2"/>
  <c r="AF87" i="2"/>
  <c r="AL86" i="2"/>
  <c r="AK86" i="2"/>
  <c r="AN86" i="2" s="1"/>
  <c r="AI86" i="2"/>
  <c r="AF86" i="2"/>
  <c r="AM86" i="2" s="1"/>
  <c r="AL85" i="2"/>
  <c r="AK85" i="2"/>
  <c r="AN85" i="2" s="1"/>
  <c r="AI85" i="2"/>
  <c r="AF85" i="2"/>
  <c r="AL84" i="2"/>
  <c r="AK84" i="2"/>
  <c r="AN84" i="2" s="1"/>
  <c r="AI84" i="2"/>
  <c r="AF84" i="2"/>
  <c r="AL83" i="2"/>
  <c r="AK83" i="2"/>
  <c r="AN83" i="2" s="1"/>
  <c r="AI83" i="2"/>
  <c r="AF83" i="2"/>
  <c r="AM83" i="2" s="1"/>
  <c r="AN82" i="2"/>
  <c r="AL82" i="2"/>
  <c r="AK82" i="2"/>
  <c r="AI82" i="2"/>
  <c r="AF82" i="2"/>
  <c r="AL81" i="2"/>
  <c r="AK81" i="2"/>
  <c r="AN81" i="2" s="1"/>
  <c r="AI81" i="2"/>
  <c r="AF81" i="2"/>
  <c r="AN80" i="2"/>
  <c r="AL80" i="2"/>
  <c r="AK80" i="2"/>
  <c r="AI80" i="2"/>
  <c r="AF80" i="2"/>
  <c r="AL79" i="2"/>
  <c r="AK79" i="2"/>
  <c r="AN79" i="2" s="1"/>
  <c r="AI79" i="2"/>
  <c r="AF79" i="2"/>
  <c r="AL78" i="2"/>
  <c r="AK78" i="2"/>
  <c r="AN78" i="2" s="1"/>
  <c r="AI78" i="2"/>
  <c r="AF78" i="2"/>
  <c r="AN77" i="2"/>
  <c r="AL77" i="2"/>
  <c r="AK77" i="2"/>
  <c r="AI77" i="2"/>
  <c r="AF77" i="2"/>
  <c r="AL76" i="2"/>
  <c r="AK76" i="2"/>
  <c r="AN76" i="2" s="1"/>
  <c r="AI76" i="2"/>
  <c r="AF76" i="2"/>
  <c r="AL75" i="2"/>
  <c r="AK75" i="2"/>
  <c r="AN75" i="2" s="1"/>
  <c r="AI75" i="2"/>
  <c r="AF75" i="2"/>
  <c r="AL74" i="2"/>
  <c r="AK74" i="2"/>
  <c r="AN74" i="2" s="1"/>
  <c r="AI74" i="2"/>
  <c r="AF74" i="2"/>
  <c r="AL73" i="2"/>
  <c r="AK73" i="2"/>
  <c r="AN73" i="2" s="1"/>
  <c r="AI73" i="2"/>
  <c r="AF73" i="2"/>
  <c r="AL72" i="2"/>
  <c r="AK72" i="2"/>
  <c r="AN72" i="2" s="1"/>
  <c r="AI72" i="2"/>
  <c r="AF72" i="2"/>
  <c r="AL71" i="2"/>
  <c r="AK71" i="2"/>
  <c r="AN71" i="2" s="1"/>
  <c r="AI71" i="2"/>
  <c r="AF71" i="2"/>
  <c r="AL70" i="2"/>
  <c r="AK70" i="2"/>
  <c r="AN70" i="2" s="1"/>
  <c r="AI70" i="2"/>
  <c r="AF70" i="2"/>
  <c r="AL69" i="2"/>
  <c r="AK69" i="2"/>
  <c r="AN69" i="2" s="1"/>
  <c r="AI69" i="2"/>
  <c r="AF69" i="2"/>
  <c r="AL68" i="2"/>
  <c r="AK68" i="2"/>
  <c r="AN68" i="2" s="1"/>
  <c r="AI68" i="2"/>
  <c r="AF68" i="2"/>
  <c r="AL67" i="2"/>
  <c r="AK67" i="2"/>
  <c r="AN67" i="2" s="1"/>
  <c r="AI67" i="2"/>
  <c r="AF67" i="2"/>
  <c r="AL66" i="2"/>
  <c r="AK66" i="2"/>
  <c r="AN66" i="2" s="1"/>
  <c r="AI66" i="2"/>
  <c r="AF66" i="2"/>
  <c r="AN65" i="2"/>
  <c r="AL65" i="2"/>
  <c r="AK65" i="2"/>
  <c r="AI65" i="2"/>
  <c r="AF65" i="2"/>
  <c r="AL64" i="2"/>
  <c r="AK64" i="2"/>
  <c r="AN64" i="2" s="1"/>
  <c r="AI64" i="2"/>
  <c r="AF64" i="2"/>
  <c r="AL63" i="2"/>
  <c r="AK63" i="2"/>
  <c r="AN63" i="2" s="1"/>
  <c r="AI63" i="2"/>
  <c r="AF63" i="2"/>
  <c r="AL62" i="2"/>
  <c r="AK62" i="2"/>
  <c r="AN62" i="2" s="1"/>
  <c r="AI62" i="2"/>
  <c r="AF62" i="2"/>
  <c r="AL61" i="2"/>
  <c r="AK61" i="2"/>
  <c r="AN61" i="2" s="1"/>
  <c r="AI61" i="2"/>
  <c r="AF61" i="2"/>
  <c r="AM61" i="2" s="1"/>
  <c r="AL60" i="2"/>
  <c r="AK60" i="2"/>
  <c r="AN60" i="2" s="1"/>
  <c r="AI60" i="2"/>
  <c r="AF60" i="2"/>
  <c r="AL59" i="2"/>
  <c r="AK59" i="2"/>
  <c r="AN59" i="2" s="1"/>
  <c r="AI59" i="2"/>
  <c r="AF59" i="2"/>
  <c r="AL58" i="2"/>
  <c r="AK58" i="2"/>
  <c r="AN58" i="2" s="1"/>
  <c r="AI58" i="2"/>
  <c r="AF58" i="2"/>
  <c r="AN57" i="2"/>
  <c r="AL57" i="2"/>
  <c r="AK57" i="2"/>
  <c r="AI57" i="2"/>
  <c r="AF57" i="2"/>
  <c r="AL56" i="2"/>
  <c r="AK56" i="2"/>
  <c r="AN56" i="2" s="1"/>
  <c r="AI56" i="2"/>
  <c r="AF56" i="2"/>
  <c r="AL55" i="2"/>
  <c r="AK55" i="2"/>
  <c r="AN55" i="2" s="1"/>
  <c r="AI55" i="2"/>
  <c r="AF55" i="2"/>
  <c r="AL54" i="2"/>
  <c r="AK54" i="2"/>
  <c r="AN54" i="2" s="1"/>
  <c r="AI54" i="2"/>
  <c r="AF54" i="2"/>
  <c r="Y54" i="2"/>
  <c r="AL53" i="2"/>
  <c r="AK53" i="2"/>
  <c r="AN53" i="2" s="1"/>
  <c r="AI53" i="2"/>
  <c r="AF53" i="2"/>
  <c r="AL52" i="2"/>
  <c r="AK52" i="2"/>
  <c r="AN52" i="2" s="1"/>
  <c r="AI52" i="2"/>
  <c r="AF52" i="2"/>
  <c r="AN51" i="2"/>
  <c r="AL51" i="2"/>
  <c r="AK51" i="2"/>
  <c r="AI51" i="2"/>
  <c r="AF51" i="2"/>
  <c r="AL50" i="2"/>
  <c r="AK50" i="2"/>
  <c r="AN50" i="2" s="1"/>
  <c r="AI50" i="2"/>
  <c r="AF50" i="2"/>
  <c r="AL49" i="2"/>
  <c r="AK49" i="2"/>
  <c r="AN49" i="2" s="1"/>
  <c r="AI49" i="2"/>
  <c r="AF49" i="2"/>
  <c r="AL48" i="2"/>
  <c r="AK48" i="2"/>
  <c r="AN48" i="2" s="1"/>
  <c r="AI48" i="2"/>
  <c r="AF48" i="2"/>
  <c r="AL47" i="2"/>
  <c r="AK47" i="2"/>
  <c r="AN47" i="2" s="1"/>
  <c r="AI47" i="2"/>
  <c r="AF47" i="2"/>
  <c r="AL46" i="2"/>
  <c r="AK46" i="2"/>
  <c r="AN46" i="2" s="1"/>
  <c r="AI46" i="2"/>
  <c r="AF46" i="2"/>
  <c r="AL45" i="2"/>
  <c r="AK45" i="2"/>
  <c r="AN45" i="2" s="1"/>
  <c r="AI45" i="2"/>
  <c r="AF45" i="2"/>
  <c r="AL44" i="2"/>
  <c r="AK44" i="2"/>
  <c r="AN44" i="2" s="1"/>
  <c r="AI44" i="2"/>
  <c r="AF44" i="2"/>
  <c r="AL43" i="2"/>
  <c r="AK43" i="2"/>
  <c r="AN43" i="2" s="1"/>
  <c r="AI43" i="2"/>
  <c r="AF43" i="2"/>
  <c r="AL42" i="2"/>
  <c r="AK42" i="2"/>
  <c r="AN42" i="2" s="1"/>
  <c r="AI42" i="2"/>
  <c r="AF42" i="2"/>
  <c r="AL41" i="2"/>
  <c r="AK41" i="2"/>
  <c r="AN41" i="2" s="1"/>
  <c r="AI41" i="2"/>
  <c r="AF41" i="2"/>
  <c r="AL40" i="2"/>
  <c r="AK40" i="2"/>
  <c r="AN40" i="2" s="1"/>
  <c r="AI40" i="2"/>
  <c r="AF40" i="2"/>
  <c r="AL39" i="2"/>
  <c r="AK39" i="2"/>
  <c r="AN39" i="2" s="1"/>
  <c r="AI39" i="2"/>
  <c r="AF39" i="2"/>
  <c r="AL38" i="2"/>
  <c r="AK38" i="2"/>
  <c r="AN38" i="2" s="1"/>
  <c r="AI38" i="2"/>
  <c r="AF38" i="2"/>
  <c r="AL37" i="2"/>
  <c r="AK37" i="2"/>
  <c r="AN37" i="2" s="1"/>
  <c r="AI37" i="2"/>
  <c r="AF37" i="2"/>
  <c r="AL36" i="2"/>
  <c r="AK36" i="2"/>
  <c r="AN36" i="2" s="1"/>
  <c r="AI36" i="2"/>
  <c r="AF36" i="2"/>
  <c r="AL35" i="2"/>
  <c r="AK35" i="2"/>
  <c r="AN35" i="2" s="1"/>
  <c r="AI35" i="2"/>
  <c r="AF35" i="2"/>
  <c r="AL34" i="2"/>
  <c r="AK34" i="2"/>
  <c r="AN34" i="2" s="1"/>
  <c r="AI34" i="2"/>
  <c r="AF34" i="2"/>
  <c r="AL33" i="2"/>
  <c r="AK33" i="2"/>
  <c r="AN33" i="2" s="1"/>
  <c r="AI33" i="2"/>
  <c r="AF33" i="2"/>
  <c r="AL32" i="2"/>
  <c r="AK32" i="2"/>
  <c r="AN32" i="2" s="1"/>
  <c r="AI32" i="2"/>
  <c r="AF32" i="2"/>
  <c r="AL31" i="2"/>
  <c r="AK31" i="2"/>
  <c r="AN31" i="2" s="1"/>
  <c r="AI31" i="2"/>
  <c r="AF31" i="2"/>
  <c r="AL30" i="2"/>
  <c r="AK30" i="2"/>
  <c r="AN30" i="2" s="1"/>
  <c r="AI30" i="2"/>
  <c r="AF30" i="2"/>
  <c r="AL29" i="2"/>
  <c r="AK29" i="2"/>
  <c r="AN29" i="2" s="1"/>
  <c r="AI29" i="2"/>
  <c r="AF29" i="2"/>
  <c r="AM29" i="2" s="1"/>
  <c r="AL28" i="2"/>
  <c r="AK28" i="2"/>
  <c r="AN28" i="2" s="1"/>
  <c r="AI28" i="2"/>
  <c r="AF28" i="2"/>
  <c r="AL27" i="2"/>
  <c r="AK27" i="2"/>
  <c r="AN27" i="2" s="1"/>
  <c r="AI27" i="2"/>
  <c r="AF27" i="2"/>
  <c r="AL26" i="2"/>
  <c r="AK26" i="2"/>
  <c r="AN26" i="2" s="1"/>
  <c r="AI26" i="2"/>
  <c r="AF26" i="2"/>
  <c r="AL25" i="2"/>
  <c r="AK25" i="2"/>
  <c r="AN25" i="2" s="1"/>
  <c r="AI25" i="2"/>
  <c r="AF25" i="2"/>
  <c r="AL24" i="2"/>
  <c r="AK24" i="2"/>
  <c r="AN24" i="2" s="1"/>
  <c r="AI24" i="2"/>
  <c r="AF24" i="2"/>
  <c r="AL23" i="2"/>
  <c r="AK23" i="2"/>
  <c r="AN23" i="2" s="1"/>
  <c r="AI23" i="2"/>
  <c r="AF23" i="2"/>
  <c r="AL22" i="2"/>
  <c r="AK22" i="2"/>
  <c r="AN22" i="2" s="1"/>
  <c r="AI22" i="2"/>
  <c r="AF22" i="2"/>
  <c r="AL21" i="2"/>
  <c r="AK21" i="2"/>
  <c r="AN21" i="2" s="1"/>
  <c r="AI21" i="2"/>
  <c r="AF21" i="2"/>
  <c r="AL20" i="2"/>
  <c r="AK20" i="2"/>
  <c r="AN20" i="2" s="1"/>
  <c r="AI20" i="2"/>
  <c r="AF20" i="2"/>
  <c r="AL19" i="2"/>
  <c r="AK19" i="2"/>
  <c r="AN19" i="2" s="1"/>
  <c r="AI19" i="2"/>
  <c r="AF19" i="2"/>
  <c r="AL18" i="2"/>
  <c r="AK18" i="2"/>
  <c r="AN18" i="2" s="1"/>
  <c r="AI18" i="2"/>
  <c r="AF18" i="2"/>
  <c r="AL17" i="2"/>
  <c r="AK17" i="2"/>
  <c r="AN17" i="2" s="1"/>
  <c r="AI17" i="2"/>
  <c r="AF17" i="2"/>
  <c r="AL16" i="2"/>
  <c r="AK16" i="2"/>
  <c r="AN16" i="2" s="1"/>
  <c r="AI16" i="2"/>
  <c r="AF16" i="2"/>
  <c r="AL15" i="2"/>
  <c r="AK15" i="2"/>
  <c r="AN15" i="2" s="1"/>
  <c r="AI15" i="2"/>
  <c r="AF15" i="2"/>
  <c r="AL14" i="2"/>
  <c r="AK14" i="2"/>
  <c r="AN14" i="2" s="1"/>
  <c r="AI14" i="2"/>
  <c r="AF14" i="2"/>
  <c r="AL13" i="2"/>
  <c r="AK13" i="2"/>
  <c r="AN13" i="2" s="1"/>
  <c r="AI13" i="2"/>
  <c r="AF13" i="2"/>
  <c r="AL12" i="2"/>
  <c r="AK12" i="2"/>
  <c r="AN12" i="2" s="1"/>
  <c r="AI12" i="2"/>
  <c r="AF12" i="2"/>
  <c r="AL11" i="2"/>
  <c r="AK11" i="2"/>
  <c r="AN11" i="2" s="1"/>
  <c r="AI11" i="2"/>
  <c r="AF11" i="2"/>
  <c r="AL10" i="2"/>
  <c r="AK10" i="2"/>
  <c r="AN10" i="2" s="1"/>
  <c r="AI10" i="2"/>
  <c r="AF10" i="2"/>
  <c r="AL9" i="2"/>
  <c r="AK9" i="2"/>
  <c r="AN9" i="2" s="1"/>
  <c r="AI9" i="2"/>
  <c r="AF9" i="2"/>
  <c r="AM9" i="2" s="1"/>
  <c r="AL8" i="2"/>
  <c r="AK8" i="2"/>
  <c r="AN8" i="2" s="1"/>
  <c r="AI8" i="2"/>
  <c r="AF8" i="2"/>
  <c r="AL7" i="2"/>
  <c r="AK7" i="2"/>
  <c r="AN7" i="2" s="1"/>
  <c r="AI7" i="2"/>
  <c r="AF7" i="2"/>
  <c r="AL6" i="2"/>
  <c r="AK6" i="2"/>
  <c r="AN6" i="2" s="1"/>
  <c r="AI6" i="2"/>
  <c r="AF6" i="2"/>
  <c r="AM6" i="2" s="1"/>
  <c r="AL5" i="2"/>
  <c r="AK5" i="2"/>
  <c r="AN5" i="2" s="1"/>
  <c r="AI5" i="2"/>
  <c r="AF5" i="2"/>
  <c r="AM50" i="2" l="1"/>
  <c r="AM72" i="2"/>
  <c r="AM107" i="2"/>
  <c r="AM131" i="2"/>
  <c r="AM142" i="2"/>
  <c r="AM297" i="2"/>
  <c r="AM41" i="2"/>
  <c r="AM126" i="2"/>
  <c r="AM260" i="2"/>
  <c r="AM272" i="2"/>
  <c r="AM280" i="2"/>
  <c r="AM124" i="2"/>
  <c r="AM100" i="2"/>
  <c r="AM283" i="2"/>
  <c r="AM210" i="2"/>
  <c r="AM140" i="2"/>
  <c r="AM78" i="2"/>
  <c r="AM92" i="2"/>
  <c r="AM176" i="2"/>
  <c r="AM220" i="2"/>
  <c r="AM284" i="2"/>
  <c r="AM278" i="2"/>
  <c r="AM134" i="2"/>
  <c r="AM110" i="2"/>
  <c r="AM106" i="2"/>
  <c r="AM130" i="2"/>
  <c r="AM188" i="2"/>
  <c r="AM296" i="2"/>
  <c r="AM299" i="2"/>
  <c r="AM73" i="2"/>
  <c r="AM252" i="2"/>
  <c r="AM84" i="2"/>
  <c r="AM248" i="2"/>
  <c r="AM116" i="2"/>
  <c r="AM208" i="2"/>
  <c r="AM68" i="2"/>
  <c r="AM82" i="2"/>
  <c r="AM96" i="2"/>
  <c r="AM120" i="2"/>
  <c r="AM206" i="2"/>
  <c r="AM250" i="2"/>
  <c r="AM253" i="2"/>
  <c r="AM152" i="2"/>
  <c r="AM60" i="2"/>
  <c r="AM55" i="2"/>
  <c r="AM159" i="2"/>
  <c r="AM151" i="2"/>
  <c r="AM71" i="2"/>
  <c r="AM103" i="2"/>
  <c r="AM239" i="2"/>
  <c r="AM295" i="2"/>
  <c r="AM211" i="2"/>
  <c r="AM91" i="2"/>
  <c r="AM235" i="2"/>
  <c r="AM115" i="2"/>
  <c r="AM139" i="2"/>
  <c r="AM121" i="2"/>
  <c r="AM79" i="2"/>
  <c r="AM98" i="2"/>
  <c r="AM127" i="2"/>
  <c r="AM175" i="2"/>
  <c r="AM187" i="2"/>
  <c r="AM251" i="2"/>
  <c r="AM265" i="2"/>
  <c r="AM268" i="2"/>
  <c r="AM271" i="2"/>
  <c r="AM277" i="2"/>
  <c r="AM223" i="2"/>
  <c r="AM113" i="2"/>
  <c r="AM288" i="2"/>
  <c r="AM155" i="2"/>
  <c r="AM234" i="2"/>
  <c r="AM90" i="2"/>
  <c r="AM282" i="2"/>
  <c r="AM101" i="2"/>
  <c r="AM162" i="2"/>
  <c r="AM257" i="2"/>
  <c r="AM209" i="2"/>
  <c r="AM294" i="2"/>
  <c r="AM64" i="2"/>
  <c r="AM99" i="2"/>
  <c r="AM114" i="2"/>
  <c r="AM122" i="2"/>
  <c r="AM137" i="2"/>
  <c r="AM160" i="2"/>
  <c r="AM186" i="2"/>
  <c r="AM195" i="2"/>
  <c r="AM198" i="2"/>
  <c r="AM125" i="2"/>
  <c r="AM166" i="2"/>
  <c r="AM230" i="2"/>
  <c r="AM286" i="2"/>
  <c r="AM117" i="2"/>
  <c r="AM146" i="2"/>
  <c r="AM149" i="2"/>
  <c r="AM172" i="2"/>
  <c r="AM201" i="2"/>
  <c r="AM241" i="2"/>
  <c r="AM244" i="2"/>
  <c r="AM123" i="2"/>
  <c r="AM89" i="2"/>
  <c r="AM138" i="2"/>
  <c r="AM190" i="2"/>
  <c r="AM219" i="2"/>
  <c r="AM256" i="2"/>
  <c r="AM74" i="2"/>
  <c r="AM77" i="2"/>
  <c r="AM141" i="2"/>
  <c r="AM144" i="2"/>
  <c r="AM161" i="2"/>
  <c r="AM225" i="2"/>
  <c r="AM270" i="2"/>
  <c r="AM66" i="2"/>
  <c r="AM197" i="2"/>
  <c r="AM174" i="2"/>
  <c r="AM184" i="2"/>
  <c r="AM207" i="2"/>
  <c r="AM233" i="2"/>
  <c r="AM150" i="2"/>
  <c r="AM170" i="2"/>
  <c r="AM173" i="2"/>
  <c r="AM202" i="2"/>
  <c r="AM205" i="2"/>
  <c r="AM245" i="2"/>
  <c r="AM276" i="2"/>
  <c r="AM290" i="2"/>
  <c r="AM293" i="2"/>
  <c r="AM56" i="2"/>
  <c r="AM255" i="2"/>
  <c r="AM40" i="2"/>
  <c r="AM217" i="2"/>
  <c r="AM228" i="2"/>
  <c r="AM266" i="2"/>
  <c r="AM8" i="2"/>
  <c r="AM20" i="2"/>
  <c r="AM231" i="2"/>
  <c r="AM62" i="2"/>
  <c r="AM70" i="2"/>
  <c r="AM75" i="2"/>
  <c r="AM95" i="2"/>
  <c r="AM119" i="2"/>
  <c r="AM163" i="2"/>
  <c r="AM185" i="2"/>
  <c r="AM193" i="2"/>
  <c r="AM196" i="2"/>
  <c r="AM204" i="2"/>
  <c r="AM212" i="2"/>
  <c r="AM242" i="2"/>
  <c r="AM169" i="2"/>
  <c r="AM180" i="2"/>
  <c r="AM218" i="2"/>
  <c r="AM27" i="2"/>
  <c r="AM183" i="2"/>
  <c r="AM46" i="2"/>
  <c r="AM87" i="2"/>
  <c r="AM111" i="2"/>
  <c r="AM135" i="2"/>
  <c r="AM145" i="2"/>
  <c r="AM148" i="2"/>
  <c r="AM156" i="2"/>
  <c r="AM164" i="2"/>
  <c r="AM194" i="2"/>
  <c r="AM259" i="2"/>
  <c r="AM281" i="2"/>
  <c r="AM289" i="2"/>
  <c r="AM292" i="2"/>
  <c r="AM300" i="2"/>
  <c r="AM85" i="2"/>
  <c r="AM109" i="2"/>
  <c r="AM133" i="2"/>
  <c r="AM167" i="2"/>
  <c r="AM178" i="2"/>
  <c r="AM181" i="2"/>
  <c r="AM213" i="2"/>
  <c r="AM216" i="2"/>
  <c r="AM224" i="2"/>
  <c r="AM227" i="2"/>
  <c r="AM246" i="2"/>
  <c r="AM262" i="2"/>
  <c r="AM273" i="2"/>
  <c r="AM7" i="2"/>
  <c r="AM34" i="2"/>
  <c r="AM58" i="2"/>
  <c r="AM81" i="2"/>
  <c r="AM105" i="2"/>
  <c r="AM129" i="2"/>
  <c r="AM143" i="2"/>
  <c r="AM154" i="2"/>
  <c r="AM157" i="2"/>
  <c r="AM189" i="2"/>
  <c r="AM192" i="2"/>
  <c r="AM200" i="2"/>
  <c r="AM203" i="2"/>
  <c r="AM222" i="2"/>
  <c r="AM238" i="2"/>
  <c r="AM249" i="2"/>
  <c r="AM279" i="2"/>
  <c r="AM287" i="2"/>
  <c r="AM298" i="2"/>
  <c r="AM301" i="2"/>
  <c r="AM10" i="2"/>
  <c r="AM22" i="2"/>
  <c r="AM12" i="2"/>
  <c r="AM24" i="2"/>
  <c r="AM15" i="2"/>
  <c r="AM13" i="2"/>
  <c r="AM11" i="2"/>
  <c r="AM14" i="2"/>
  <c r="AM17" i="2"/>
  <c r="AM23" i="2"/>
  <c r="AM26" i="2"/>
  <c r="AM44" i="2"/>
  <c r="AM32" i="2"/>
  <c r="AM18" i="2"/>
  <c r="AM21" i="2"/>
  <c r="AM30" i="2"/>
  <c r="AM33" i="2"/>
  <c r="AM16" i="2"/>
  <c r="AM19" i="2"/>
  <c r="AM25" i="2"/>
  <c r="AM28" i="2"/>
  <c r="AM31" i="2"/>
  <c r="AM49" i="2"/>
  <c r="AM69" i="2"/>
  <c r="AM57" i="2"/>
  <c r="AM65" i="2"/>
  <c r="AM63" i="2"/>
  <c r="AM59" i="2"/>
  <c r="AM67" i="2"/>
  <c r="AM76" i="2"/>
  <c r="AM52" i="2"/>
  <c r="AM43" i="2"/>
  <c r="AM47" i="2"/>
  <c r="AM37" i="2"/>
  <c r="AM53" i="2"/>
  <c r="AM36" i="2"/>
  <c r="AM39" i="2"/>
  <c r="AM38" i="2"/>
  <c r="AM42" i="2"/>
  <c r="AM51" i="2"/>
  <c r="AM45" i="2"/>
  <c r="AM54" i="2"/>
  <c r="AM48" i="2"/>
  <c r="AM35" i="2"/>
  <c r="AM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W5" authorId="0" shapeId="0" xr:uid="{00000000-0006-0000-0100-000001000000}">
      <text>
        <r>
          <rPr>
            <sz val="10"/>
            <rFont val="Arial"/>
            <family val="2"/>
          </rPr>
          <t>Daniel:
O abel atende mais rapido porem demora mais tempo para chamara para a sala, com media de 4:30 minutos</t>
        </r>
      </text>
    </comment>
  </commentList>
</comments>
</file>

<file path=xl/sharedStrings.xml><?xml version="1.0" encoding="utf-8"?>
<sst xmlns="http://schemas.openxmlformats.org/spreadsheetml/2006/main" count="203" uniqueCount="83">
  <si>
    <t>Cronoanálise da Jornada do Paciente — Consulta e Exames de Córnea</t>
  </si>
  <si>
    <t>Ferramenta de coleta de tempos para a empresa júnior medir, etapa a etapa, o percurso do paciente desde a chegada na recepção até a saída da clínica.</t>
  </si>
  <si>
    <t>Como usar</t>
  </si>
  <si>
    <t>•  1. Escolha uma amostra de pacientes que virão para consulta de córnea (idealmente pacientes novos, que passam por todos os exames listados). Recomenda-se observar pelo menos 15–20 atendimentos, em dias e horários diferentes, para captar variação de fluxo.</t>
  </si>
  <si>
    <t>•  2. Um integrante da empresa júnior acompanha o paciente (ou se posiciona em cada posto) e anota, na aba "Coleta de Dados", o horário real (relógio) em que o paciente chega e sai de cada etapa. Use o celular ou um relógio sincronizado entre os observadores.</t>
  </si>
  <si>
    <t>•  3. Cada paciente observado ocupa UMA linha. Preencha sempre da esquerda para a direita: identificação do atendimento, depois os horários de Início e Fim de cada etapa, até o horário de saída da clínica.</t>
  </si>
  <si>
    <t>•  4. As colunas "Duração (min)" e os totais são calculados automaticamente — não digite valores nelas.</t>
  </si>
  <si>
    <t>•  5. Se um atendimento tiver algum problema que distorça a medição (paciente foi chamado por engano, exame refeito, etc.), marque "Não" na coluna "Incluir na análise?" para excluí-lo dos cálculos da aba "Painel Resumo" sem apagar os dados.</t>
  </si>
  <si>
    <t>•  6. A aba "Painel Resumo" atualiza sozinha conforme as linhas são preenchidas — é ela que deve ser usada para identificar os gargalos e embasar o plano de ação.</t>
  </si>
  <si>
    <t>Legenda de cores (aba Coleta de Dados)</t>
  </si>
  <si>
    <t>•  Texto azul = célula para preencher em campo (horário, data ou seleção da lista).</t>
  </si>
  <si>
    <t>•  Texto preto sobre fundo cinza = célula calculada por fórmula — não editar.</t>
  </si>
  <si>
    <t>•  Cabeçalho laranja = etapa de ESPERA (fila). Cabeçalho verde = etapa de ATENDIMENTO (alguém está sendo atendido).</t>
  </si>
  <si>
    <t>Etapas medidas e o que registrar</t>
  </si>
  <si>
    <t>•  Recepção / Check-in — Início: chegada do paciente na recepção. Fim: quando termina o cadastro/confirmação de convênio.</t>
  </si>
  <si>
    <t>•  Espera para pré-consulta — Fim: quando o paciente é chamado para a triagem.</t>
  </si>
  <si>
    <t>•  Pré-consulta / Triagem — aferição de acuidade visual, pressão intraocular (PIO) e autorrefração.</t>
  </si>
  <si>
    <t>•  Espera para exames de córnea — Fim: quando o paciente é chamado para o primeiro exame.</t>
  </si>
  <si>
    <t>•  Os blocos de exame na aba "Coleta de Dados" (Recepção, Atendimento Glaucoma, Microscopia, Topografia, Tonometria de sopro, Auto refratário, Glaucoma Consulta, Campo visual, OCT, Paquimetria corneana, Teste provocativo de Glaucoma e Retinografia) seguem o fluxo real do consultório/máquinas da Rede Oftalmo — ajuste os nomes das colunas se a ordem ou os exames mudarem.</t>
  </si>
  <si>
    <t>•  Espera para consulta médica — fila entre o fim dos exames e a chamada para a consulta com o oftalmologista.</t>
  </si>
  <si>
    <t>•  Consulta oftalmológica — avaliação clínica da córnea (inclui biomicroscopia feita pelo médico) e definição da conduta.</t>
  </si>
  <si>
    <t>•  Encaminhamento / Agendamento / Faturamento — orientações finais, agendamento de retorno ou cirurgia, e passagem pelo caixa.</t>
  </si>
  <si>
    <t>•  Horário de saída da clínica — quando o paciente efetivamente deixa as dependências (pode incluir uma parada na ótica/farmácia; por isso o tempo total pode ser um pouco maior que a soma das etapas).</t>
  </si>
  <si>
    <t>Cuidados éticos e de dados</t>
  </si>
  <si>
    <t>•  Identifique o paciente apenas por iniciais ou código (ex.: "P-014"), nunca pelo nome completo, para preservar a privacidade dos dados de saúde (LGPD).</t>
  </si>
  <si>
    <t>•  Informe à recepção/gestão da clínica que a medição está sendo feita e obtenha autorização para acompanhar os pacientes.</t>
  </si>
  <si>
    <t>Atualizações desta versão</t>
  </si>
  <si>
    <t>•  Corrigido: os tempos de execução dos exames antigos (Microscopia, Topografia, Tonometria de sopro, Auto refratário, Recepção, Atendimento Glaucoma, Glaucoma Consulta, Campo visual) estavam formatados como "h:mm" (horas:minutos) quando o valor digitado era, na verdade, minutos:segundos — ex.: "8:50" virava 8 horas e 50 minutos em vez de 8 minutos e 50 segundos. Os valores e o formato dessas colunas foram corrigidos para minutos:segundos ([mm]:ss).</t>
  </si>
  <si>
    <t>•  Restaurada a coluna "Incluir na análise?" (AQ), que havia sido apagada e deixava um erro de referência em todas as fórmulas do Painel Resumo. Deixe em branco para incluir a linha, ou marque "Não" para excluí-la.</t>
  </si>
  <si>
    <t>•  Corrigidas as fórmulas de "Tempo total em espera" e "Tempo total em atendimento" (colunas AL e AM), que somavam colunas de texto/observação em vez das colunas de tempo reais.</t>
  </si>
  <si>
    <t>•  Adicionados 5 novos blocos de exame, no formato Início / Fim / Duração (min) — mais preciso que só a duração, pois registra o horário de entrada e saída real do paciente: OCT, Paquimetria corneana, Teste provocativo de Glaucoma, Campo Visual (Início/Fim) e Retinografia. Já populados com os dados coletados; para novas medições, continue preenchendo as próximas linhas dessas colunas.</t>
  </si>
  <si>
    <t>•  Linhas destacadas com observação "Conferir" na coluna de Observações (AP) indicam um horário de fim anterior ao de início, ou uma duração muito acima das demais medições do mesmo exame — vale conferir esses registros antes de usar nos totais.</t>
  </si>
  <si>
    <t>Cronoanálise — Consulta e Exames de Córnea</t>
  </si>
  <si>
    <t>Nº obs.</t>
  </si>
  <si>
    <t>Data</t>
  </si>
  <si>
    <t>Recepção (Portaria)</t>
  </si>
  <si>
    <t>Atendimento Glaucoma</t>
  </si>
  <si>
    <t>Microscopia</t>
  </si>
  <si>
    <t>Topografia</t>
  </si>
  <si>
    <t>Tonometria de sopro</t>
  </si>
  <si>
    <t>Auto refratário</t>
  </si>
  <si>
    <t>Glaucoma Consulta</t>
  </si>
  <si>
    <t>Campo visual</t>
  </si>
  <si>
    <t>Consulta oftalmológica</t>
  </si>
  <si>
    <t>Encaminhamento / Agendamento / Faturamento</t>
  </si>
  <si>
    <t>Horário de saída
da clínica</t>
  </si>
  <si>
    <t>Tempo total de
permanência (min)</t>
  </si>
  <si>
    <t>Tempo total
em espera (min)</t>
  </si>
  <si>
    <t>Tempo total em
atendimento (min)</t>
  </si>
  <si>
    <t>% do tempo
em espera</t>
  </si>
  <si>
    <t>Médico</t>
  </si>
  <si>
    <t>Observações / intercorrências</t>
  </si>
  <si>
    <t>Incluir na
análise?</t>
  </si>
  <si>
    <t>OCT</t>
  </si>
  <si>
    <t>Paquimetria corneana</t>
  </si>
  <si>
    <t>Teste provocativo de Glaucoma</t>
  </si>
  <si>
    <t>Campo Visual (Início/Fim)</t>
  </si>
  <si>
    <t>Retinografia</t>
  </si>
  <si>
    <t>Nº Pacientes</t>
  </si>
  <si>
    <t>Tempo</t>
  </si>
  <si>
    <t>Observação</t>
  </si>
  <si>
    <t>Início</t>
  </si>
  <si>
    <t>Fim</t>
  </si>
  <si>
    <t>Duração
(min)</t>
  </si>
  <si>
    <t>Abel</t>
  </si>
  <si>
    <t>Criança</t>
  </si>
  <si>
    <t>Idoso</t>
  </si>
  <si>
    <t>Abel (sobrecarga de pressão)</t>
  </si>
  <si>
    <t>Acompanhante de um paciente que já estava dentro</t>
  </si>
  <si>
    <t>Marcar Consulta</t>
  </si>
  <si>
    <t>Clarice</t>
  </si>
  <si>
    <t>encaixe</t>
  </si>
  <si>
    <t>Leandro</t>
  </si>
  <si>
    <t>Andre</t>
  </si>
  <si>
    <t>Triagem</t>
  </si>
  <si>
    <t>Conferir: horário de fim anterior ao de início (dados originais)</t>
  </si>
  <si>
    <t>Duração bem maior que as demais medições do lote — conferir</t>
  </si>
  <si>
    <t>x</t>
  </si>
  <si>
    <t>Pos consulta</t>
  </si>
  <si>
    <t>Tempo de Atendimento</t>
  </si>
  <si>
    <t>Tempo sem paciente</t>
  </si>
  <si>
    <t>Dificuldades com abrir os olhos</t>
  </si>
  <si>
    <t>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</si>
</sst>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mm]:ss"/>
    <numFmt numFmtId="165" formatCode="0.0"/>
    <numFmt numFmtId="166" formatCode="h:mm"/>
    <numFmt numFmtId="167" formatCode="0.0%"/>
  </numFmts>
  <fonts count="23" x14ac:knownFonts="1">
    <font>
      <sz val="11"/>
      <color theme="1"/>
      <name val="Calibri"/>
      <family val="2"/>
      <charset val="1"/>
    </font>
    <font>
      <b/>
      <sz val="16"/>
      <color rgb="FF0F6F66"/>
      <name val="Arial"/>
      <family val="2"/>
      <charset val="1"/>
    </font>
    <font>
      <i/>
      <sz val="10"/>
      <color rgb="FF666666"/>
      <name val="Arial"/>
      <family val="2"/>
      <charset val="1"/>
    </font>
    <font>
      <b/>
      <sz val="12.5"/>
      <color rgb="FF0F6F66"/>
      <name val="Arial"/>
      <family val="2"/>
      <charset val="1"/>
    </font>
    <font>
      <sz val="10.5"/>
      <name val="Arial"/>
      <family val="2"/>
      <charset val="1"/>
    </font>
    <font>
      <sz val="10.5"/>
      <name val="Arial"/>
      <charset val="1"/>
    </font>
    <font>
      <b/>
      <sz val="10.5"/>
      <name val="Arial"/>
      <charset val="1"/>
    </font>
    <font>
      <sz val="10"/>
      <color rgb="FF1F4E9C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0F6F66"/>
      <name val="Arial"/>
      <family val="2"/>
      <charset val="1"/>
    </font>
    <font>
      <b/>
      <sz val="9"/>
      <color rgb="FF0F6F66"/>
      <name val="Arial"/>
      <charset val="1"/>
    </font>
    <font>
      <b/>
      <sz val="9"/>
      <color rgb="FF8A5A00"/>
      <name val="Arial"/>
      <family val="2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family val="2"/>
      <charset val="1"/>
    </font>
    <font>
      <b/>
      <sz val="9"/>
      <color rgb="FF000000"/>
      <name val="Arial"/>
      <charset val="1"/>
    </font>
    <font>
      <sz val="10"/>
      <color rgb="FF000000"/>
      <name val="Arial"/>
      <family val="2"/>
      <charset val="1"/>
    </font>
    <font>
      <sz val="10"/>
      <color rgb="FF1F4E9C"/>
      <name val="Arial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0"/>
      <color rgb="FFFF0000"/>
      <name val="Arial"/>
      <family val="2"/>
    </font>
    <font>
      <b/>
      <sz val="9"/>
      <color rgb="FF0F6F66"/>
      <name val="Arial"/>
      <family val="2"/>
    </font>
    <font>
      <b/>
      <sz val="9"/>
      <color rgb="FF000000"/>
      <name val="Arial"/>
      <family val="2"/>
    </font>
    <font>
      <sz val="10"/>
      <color rgb="FF1F4E9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F6F66"/>
        <bgColor rgb="FF008080"/>
      </patternFill>
    </fill>
    <fill>
      <patternFill patternType="solid">
        <fgColor rgb="FFE4F1EF"/>
        <bgColor rgb="FFF2F2F2"/>
      </patternFill>
    </fill>
    <fill>
      <patternFill patternType="solid">
        <fgColor rgb="FFFDECD8"/>
        <bgColor rgb="FFF2F2F2"/>
      </patternFill>
    </fill>
    <fill>
      <patternFill patternType="solid">
        <fgColor rgb="FFF2F2F2"/>
        <bgColor rgb="FFE4F1EF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8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5" fontId="15" fillId="5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/>
    </xf>
    <xf numFmtId="165" fontId="15" fillId="5" borderId="1" xfId="0" applyNumberFormat="1" applyFont="1" applyFill="1" applyBorder="1" applyAlignment="1">
      <alignment horizontal="left" vertical="center"/>
    </xf>
    <xf numFmtId="166" fontId="7" fillId="0" borderId="1" xfId="0" applyNumberFormat="1" applyFont="1" applyBorder="1" applyAlignment="1">
      <alignment horizontal="center" vertical="center"/>
    </xf>
    <xf numFmtId="167" fontId="15" fillId="5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166" fontId="16" fillId="0" borderId="1" xfId="0" applyNumberFormat="1" applyFont="1" applyBorder="1" applyAlignment="1">
      <alignment horizontal="center" vertical="center"/>
    </xf>
    <xf numFmtId="0" fontId="0" fillId="0" borderId="7" xfId="0" applyBorder="1"/>
    <xf numFmtId="0" fontId="7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4" xfId="0" applyBorder="1"/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center" vertical="center"/>
    </xf>
    <xf numFmtId="165" fontId="15" fillId="5" borderId="7" xfId="0" applyNumberFormat="1" applyFont="1" applyFill="1" applyBorder="1" applyAlignment="1">
      <alignment horizontal="center" vertical="center"/>
    </xf>
    <xf numFmtId="167" fontId="15" fillId="5" borderId="7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166" fontId="19" fillId="0" borderId="1" xfId="0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/>
    </xf>
    <xf numFmtId="164" fontId="19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166" fontId="16" fillId="8" borderId="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F6F66"/>
      <rgbColor rgb="FFBFBFBF"/>
      <rgbColor rgb="FF878787"/>
      <rgbColor rgb="FF9999FF"/>
      <rgbColor rgb="FF993366"/>
      <rgbColor rgb="FFFDECD8"/>
      <rgbColor rgb="FFE4F1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1BAF7A"/>
      <rgbColor rgb="FF003300"/>
      <rgbColor rgb="FF333300"/>
      <rgbColor rgb="FF993300"/>
      <rgbColor rgb="FF993366"/>
      <rgbColor rgb="FF1F4E9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9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92" customWidth="1"/>
  </cols>
  <sheetData>
    <row r="2" spans="2:2" ht="24" customHeight="1" x14ac:dyDescent="0.4">
      <c r="B2" s="1" t="s">
        <v>0</v>
      </c>
    </row>
    <row r="3" spans="2:2" ht="26.25" customHeight="1" x14ac:dyDescent="0.3">
      <c r="B3" s="2" t="s">
        <v>1</v>
      </c>
    </row>
    <row r="5" spans="2:2" ht="15.75" customHeight="1" x14ac:dyDescent="0.3">
      <c r="B5" s="3" t="s">
        <v>2</v>
      </c>
    </row>
    <row r="6" spans="2:2" ht="30" customHeight="1" x14ac:dyDescent="0.3">
      <c r="B6" s="4" t="s">
        <v>3</v>
      </c>
    </row>
    <row r="7" spans="2:2" ht="30" customHeight="1" x14ac:dyDescent="0.3">
      <c r="B7" s="4" t="s">
        <v>4</v>
      </c>
    </row>
    <row r="8" spans="2:2" ht="30" customHeight="1" x14ac:dyDescent="0.3">
      <c r="B8" s="4" t="s">
        <v>5</v>
      </c>
    </row>
    <row r="9" spans="2:2" ht="30" customHeight="1" x14ac:dyDescent="0.3">
      <c r="B9" s="4" t="s">
        <v>6</v>
      </c>
    </row>
    <row r="10" spans="2:2" ht="30" customHeight="1" x14ac:dyDescent="0.3">
      <c r="B10" s="4" t="s">
        <v>7</v>
      </c>
    </row>
    <row r="11" spans="2:2" ht="30" customHeight="1" x14ac:dyDescent="0.3">
      <c r="B11" s="4" t="s">
        <v>8</v>
      </c>
    </row>
    <row r="13" spans="2:2" ht="15.75" customHeight="1" x14ac:dyDescent="0.3">
      <c r="B13" s="3" t="s">
        <v>9</v>
      </c>
    </row>
    <row r="14" spans="2:2" ht="30" customHeight="1" x14ac:dyDescent="0.3">
      <c r="B14" s="4" t="s">
        <v>10</v>
      </c>
    </row>
    <row r="15" spans="2:2" ht="30" customHeight="1" x14ac:dyDescent="0.3">
      <c r="B15" s="4" t="s">
        <v>11</v>
      </c>
    </row>
    <row r="16" spans="2:2" ht="30" customHeight="1" x14ac:dyDescent="0.3">
      <c r="B16" s="4" t="s">
        <v>12</v>
      </c>
    </row>
    <row r="18" spans="2:2" ht="15.75" customHeight="1" x14ac:dyDescent="0.3">
      <c r="B18" s="3" t="s">
        <v>13</v>
      </c>
    </row>
    <row r="19" spans="2:2" ht="30" customHeight="1" x14ac:dyDescent="0.3">
      <c r="B19" s="4" t="s">
        <v>14</v>
      </c>
    </row>
    <row r="20" spans="2:2" ht="30" customHeight="1" x14ac:dyDescent="0.3">
      <c r="B20" s="4" t="s">
        <v>15</v>
      </c>
    </row>
    <row r="21" spans="2:2" ht="30" customHeight="1" x14ac:dyDescent="0.3">
      <c r="B21" s="4" t="s">
        <v>16</v>
      </c>
    </row>
    <row r="22" spans="2:2" ht="30" customHeight="1" x14ac:dyDescent="0.3">
      <c r="B22" s="4" t="s">
        <v>17</v>
      </c>
    </row>
    <row r="23" spans="2:2" ht="30" customHeight="1" x14ac:dyDescent="0.3">
      <c r="B23" s="4" t="s">
        <v>18</v>
      </c>
    </row>
    <row r="24" spans="2:2" ht="30" customHeight="1" x14ac:dyDescent="0.3">
      <c r="B24" s="4" t="s">
        <v>19</v>
      </c>
    </row>
    <row r="25" spans="2:2" ht="30" customHeight="1" x14ac:dyDescent="0.3">
      <c r="B25" s="4" t="s">
        <v>20</v>
      </c>
    </row>
    <row r="26" spans="2:2" ht="30" customHeight="1" x14ac:dyDescent="0.3">
      <c r="B26" s="4" t="s">
        <v>21</v>
      </c>
    </row>
    <row r="27" spans="2:2" ht="30" customHeight="1" x14ac:dyDescent="0.3">
      <c r="B27" s="4" t="s">
        <v>22</v>
      </c>
    </row>
    <row r="29" spans="2:2" ht="15.75" customHeight="1" x14ac:dyDescent="0.3">
      <c r="B29" s="3" t="s">
        <v>23</v>
      </c>
    </row>
    <row r="30" spans="2:2" ht="30" customHeight="1" x14ac:dyDescent="0.3">
      <c r="B30" s="4" t="s">
        <v>24</v>
      </c>
    </row>
    <row r="31" spans="2:2" ht="30" customHeight="1" x14ac:dyDescent="0.3">
      <c r="B31" s="4" t="s">
        <v>25</v>
      </c>
    </row>
    <row r="33" spans="2:2" x14ac:dyDescent="0.3">
      <c r="B33" s="5"/>
    </row>
    <row r="34" spans="2:2" x14ac:dyDescent="0.3">
      <c r="B34" s="6" t="s">
        <v>26</v>
      </c>
    </row>
    <row r="35" spans="2:2" ht="69" x14ac:dyDescent="0.3">
      <c r="B35" s="5" t="s">
        <v>27</v>
      </c>
    </row>
    <row r="36" spans="2:2" ht="41.4" x14ac:dyDescent="0.3">
      <c r="B36" s="5" t="s">
        <v>28</v>
      </c>
    </row>
    <row r="37" spans="2:2" ht="27.6" x14ac:dyDescent="0.3">
      <c r="B37" s="5" t="s">
        <v>29</v>
      </c>
    </row>
    <row r="38" spans="2:2" ht="69" x14ac:dyDescent="0.3">
      <c r="B38" s="5" t="s">
        <v>30</v>
      </c>
    </row>
    <row r="39" spans="2:2" ht="41.4" x14ac:dyDescent="0.3">
      <c r="B39" s="5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303"/>
  <sheetViews>
    <sheetView showGridLines="0" tabSelected="1" zoomScale="82" zoomScaleNormal="100" workbookViewId="0">
      <pane xSplit="1" ySplit="4" topLeftCell="H27" activePane="bottomRight" state="frozen"/>
      <selection pane="topRight" activeCell="B1" sqref="B1"/>
      <selection pane="bottomLeft" activeCell="A5" sqref="A5"/>
      <selection pane="bottomRight" activeCell="T37" sqref="T37"/>
    </sheetView>
  </sheetViews>
  <sheetFormatPr defaultColWidth="8.6640625" defaultRowHeight="14.4" x14ac:dyDescent="0.3"/>
  <cols>
    <col min="1" max="1" width="7" customWidth="1"/>
    <col min="2" max="2" width="10" customWidth="1"/>
    <col min="3" max="3" width="10.88671875" customWidth="1"/>
    <col min="4" max="4" width="10" customWidth="1"/>
    <col min="5" max="5" width="11" customWidth="1"/>
    <col min="6" max="6" width="9.44140625" customWidth="1"/>
    <col min="7" max="7" width="9.5546875" customWidth="1"/>
    <col min="8" max="8" width="10.5546875" customWidth="1"/>
    <col min="9" max="9" width="9.44140625" style="7" customWidth="1"/>
    <col min="10" max="10" width="9.109375" customWidth="1"/>
    <col min="11" max="11" width="11.109375" customWidth="1"/>
    <col min="12" max="12" width="9.5546875" customWidth="1"/>
    <col min="13" max="13" width="9" customWidth="1"/>
    <col min="14" max="14" width="10.6640625" customWidth="1"/>
    <col min="15" max="15" width="9.5546875" customWidth="1"/>
    <col min="16" max="16" width="9.6640625" customWidth="1"/>
    <col min="17" max="17" width="10.44140625" customWidth="1"/>
    <col min="19" max="19" width="9.33203125" customWidth="1"/>
    <col min="20" max="20" width="10.33203125" customWidth="1"/>
    <col min="21" max="21" width="9.33203125" customWidth="1"/>
    <col min="22" max="22" width="9.5546875" customWidth="1"/>
    <col min="23" max="23" width="10.44140625" customWidth="1"/>
    <col min="24" max="24" width="9.6640625" hidden="1" customWidth="1"/>
    <col min="25" max="25" width="8.88671875" hidden="1" customWidth="1"/>
    <col min="26" max="26" width="10.33203125" hidden="1" customWidth="1"/>
    <col min="27" max="27" width="9.6640625" hidden="1" customWidth="1"/>
    <col min="28" max="28" width="9.44140625" hidden="1" customWidth="1"/>
    <col min="29" max="29" width="10.33203125" hidden="1" customWidth="1"/>
    <col min="30" max="30" width="9.109375" hidden="1" customWidth="1"/>
    <col min="31" max="31" width="9.6640625" hidden="1" customWidth="1"/>
    <col min="32" max="32" width="10" hidden="1" customWidth="1"/>
    <col min="33" max="33" width="9.109375" hidden="1" customWidth="1"/>
    <col min="34" max="34" width="10.109375" hidden="1" customWidth="1"/>
    <col min="35" max="35" width="10.5546875" hidden="1" customWidth="1"/>
    <col min="36" max="36" width="9.5546875" hidden="1" customWidth="1"/>
    <col min="37" max="37" width="13.6640625" hidden="1" customWidth="1"/>
    <col min="38" max="38" width="12.5546875" hidden="1" customWidth="1"/>
    <col min="39" max="39" width="14" hidden="1" customWidth="1"/>
    <col min="40" max="41" width="11.33203125" hidden="1" customWidth="1"/>
    <col min="42" max="42" width="30" hidden="1" customWidth="1"/>
    <col min="43" max="43" width="12" hidden="1" customWidth="1"/>
    <col min="44" max="49" width="10" customWidth="1"/>
    <col min="50" max="52" width="10" hidden="1" customWidth="1"/>
    <col min="53" max="54" width="10" customWidth="1"/>
    <col min="55" max="55" width="19.44140625" customWidth="1"/>
    <col min="56" max="58" width="10" customWidth="1"/>
    <col min="61" max="61" width="10.6640625" bestFit="1" customWidth="1"/>
    <col min="62" max="62" width="10.77734375" customWidth="1"/>
  </cols>
  <sheetData>
    <row r="1" spans="1:65" ht="21" customHeight="1" x14ac:dyDescent="0.4">
      <c r="A1" s="1" t="s">
        <v>32</v>
      </c>
      <c r="B1" s="1"/>
      <c r="C1" s="1"/>
      <c r="I1"/>
    </row>
    <row r="2" spans="1:65" ht="15" thickBot="1" x14ac:dyDescent="0.35">
      <c r="I2"/>
    </row>
    <row r="3" spans="1:65" s="22" customFormat="1" ht="40.5" customHeight="1" thickBot="1" x14ac:dyDescent="0.35">
      <c r="A3" s="37" t="s">
        <v>33</v>
      </c>
      <c r="B3" s="39" t="s">
        <v>34</v>
      </c>
      <c r="C3" s="41" t="s">
        <v>35</v>
      </c>
      <c r="D3" s="41"/>
      <c r="E3" s="41"/>
      <c r="F3" s="42" t="s">
        <v>36</v>
      </c>
      <c r="G3" s="43"/>
      <c r="H3" s="44"/>
      <c r="I3" s="45" t="s">
        <v>37</v>
      </c>
      <c r="J3" s="46"/>
      <c r="K3" s="47"/>
      <c r="L3" s="42" t="s">
        <v>38</v>
      </c>
      <c r="M3" s="43"/>
      <c r="N3" s="44"/>
      <c r="O3" s="45" t="s">
        <v>39</v>
      </c>
      <c r="P3" s="46"/>
      <c r="Q3" s="47"/>
      <c r="R3" s="45" t="s">
        <v>40</v>
      </c>
      <c r="S3" s="46"/>
      <c r="T3" s="47"/>
      <c r="U3" s="45" t="s">
        <v>41</v>
      </c>
      <c r="V3" s="46"/>
      <c r="W3" s="47"/>
      <c r="X3" s="45" t="s">
        <v>42</v>
      </c>
      <c r="Y3" s="46"/>
      <c r="Z3" s="47"/>
      <c r="AA3" s="48" t="s">
        <v>53</v>
      </c>
      <c r="AB3" s="49"/>
      <c r="AC3" s="50"/>
      <c r="AD3" s="45" t="s">
        <v>43</v>
      </c>
      <c r="AE3" s="46"/>
      <c r="AF3" s="47"/>
      <c r="AG3" s="45" t="s">
        <v>44</v>
      </c>
      <c r="AH3" s="46"/>
      <c r="AI3" s="47"/>
      <c r="AJ3" s="51" t="s">
        <v>45</v>
      </c>
      <c r="AK3" s="51" t="s">
        <v>46</v>
      </c>
      <c r="AL3" s="51" t="s">
        <v>47</v>
      </c>
      <c r="AM3" s="51" t="s">
        <v>48</v>
      </c>
      <c r="AN3" s="51" t="s">
        <v>49</v>
      </c>
      <c r="AO3" s="51" t="s">
        <v>50</v>
      </c>
      <c r="AP3" s="51" t="s">
        <v>51</v>
      </c>
      <c r="AQ3" s="53" t="s">
        <v>52</v>
      </c>
      <c r="AR3" s="55" t="s">
        <v>53</v>
      </c>
      <c r="AS3" s="56"/>
      <c r="AT3" s="57"/>
      <c r="AU3" s="36" t="s">
        <v>54</v>
      </c>
      <c r="AV3" s="36"/>
      <c r="AW3" s="36"/>
      <c r="AX3" s="36" t="s">
        <v>55</v>
      </c>
      <c r="AY3" s="36"/>
      <c r="AZ3" s="36"/>
      <c r="BA3" s="36" t="s">
        <v>56</v>
      </c>
      <c r="BB3" s="36"/>
      <c r="BC3" s="36"/>
      <c r="BD3" s="36" t="s">
        <v>57</v>
      </c>
      <c r="BE3" s="36"/>
      <c r="BF3" s="36"/>
      <c r="BG3" s="35" t="s">
        <v>78</v>
      </c>
      <c r="BH3" s="35"/>
      <c r="BI3" s="36"/>
      <c r="BJ3" s="36"/>
    </row>
    <row r="4" spans="1:65" s="17" customFormat="1" ht="27.75" customHeight="1" x14ac:dyDescent="0.3">
      <c r="A4" s="38"/>
      <c r="B4" s="40"/>
      <c r="C4" s="8" t="s">
        <v>58</v>
      </c>
      <c r="D4" s="8" t="s">
        <v>59</v>
      </c>
      <c r="E4" s="8" t="s">
        <v>60</v>
      </c>
      <c r="F4" s="8" t="s">
        <v>58</v>
      </c>
      <c r="G4" s="8" t="s">
        <v>59</v>
      </c>
      <c r="H4" s="8" t="s">
        <v>60</v>
      </c>
      <c r="I4" s="8" t="s">
        <v>58</v>
      </c>
      <c r="J4" s="8" t="s">
        <v>59</v>
      </c>
      <c r="K4" s="8" t="s">
        <v>60</v>
      </c>
      <c r="L4" s="8" t="s">
        <v>58</v>
      </c>
      <c r="M4" s="8" t="s">
        <v>59</v>
      </c>
      <c r="N4" s="8" t="s">
        <v>60</v>
      </c>
      <c r="O4" s="8" t="s">
        <v>58</v>
      </c>
      <c r="P4" s="8" t="s">
        <v>59</v>
      </c>
      <c r="Q4" s="8" t="s">
        <v>60</v>
      </c>
      <c r="R4" s="8" t="s">
        <v>58</v>
      </c>
      <c r="S4" s="8" t="s">
        <v>59</v>
      </c>
      <c r="T4" s="8" t="s">
        <v>60</v>
      </c>
      <c r="U4" s="8" t="s">
        <v>58</v>
      </c>
      <c r="V4" s="8" t="s">
        <v>59</v>
      </c>
      <c r="W4" s="8" t="s">
        <v>60</v>
      </c>
      <c r="X4" s="8" t="s">
        <v>58</v>
      </c>
      <c r="Y4" s="8" t="s">
        <v>59</v>
      </c>
      <c r="Z4" s="8" t="s">
        <v>60</v>
      </c>
      <c r="AA4" s="9" t="s">
        <v>61</v>
      </c>
      <c r="AB4" s="9" t="s">
        <v>62</v>
      </c>
      <c r="AC4" s="9" t="s">
        <v>63</v>
      </c>
      <c r="AD4" s="8" t="s">
        <v>61</v>
      </c>
      <c r="AE4" s="8" t="s">
        <v>62</v>
      </c>
      <c r="AF4" s="8" t="s">
        <v>63</v>
      </c>
      <c r="AG4" s="8" t="s">
        <v>61</v>
      </c>
      <c r="AH4" s="8" t="s">
        <v>62</v>
      </c>
      <c r="AI4" s="8" t="s">
        <v>63</v>
      </c>
      <c r="AJ4" s="52"/>
      <c r="AK4" s="52"/>
      <c r="AL4" s="52"/>
      <c r="AM4" s="52"/>
      <c r="AN4" s="52"/>
      <c r="AO4" s="52"/>
      <c r="AP4" s="52"/>
      <c r="AQ4" s="54"/>
      <c r="AR4" s="31" t="s">
        <v>61</v>
      </c>
      <c r="AS4" s="31" t="s">
        <v>62</v>
      </c>
      <c r="AT4" s="59" t="s">
        <v>63</v>
      </c>
      <c r="AU4" s="31" t="s">
        <v>61</v>
      </c>
      <c r="AV4" s="31" t="s">
        <v>62</v>
      </c>
      <c r="AW4" s="59" t="s">
        <v>63</v>
      </c>
      <c r="AX4" s="31" t="s">
        <v>61</v>
      </c>
      <c r="AY4" s="31" t="s">
        <v>62</v>
      </c>
      <c r="AZ4" s="31" t="s">
        <v>63</v>
      </c>
      <c r="BA4" s="31" t="s">
        <v>61</v>
      </c>
      <c r="BB4" s="31" t="s">
        <v>62</v>
      </c>
      <c r="BC4" s="59" t="s">
        <v>63</v>
      </c>
      <c r="BD4" s="31" t="s">
        <v>61</v>
      </c>
      <c r="BE4" s="31" t="s">
        <v>62</v>
      </c>
      <c r="BF4" s="59" t="s">
        <v>63</v>
      </c>
      <c r="BG4" s="33" t="s">
        <v>82</v>
      </c>
      <c r="BH4" s="33" t="s">
        <v>62</v>
      </c>
      <c r="BI4" s="34" t="s">
        <v>80</v>
      </c>
      <c r="BJ4" s="64" t="s">
        <v>79</v>
      </c>
      <c r="BL4" s="22"/>
      <c r="BM4" s="22"/>
    </row>
    <row r="5" spans="1:65" s="17" customFormat="1" x14ac:dyDescent="0.3">
      <c r="A5" s="23">
        <v>1</v>
      </c>
      <c r="B5" s="7"/>
      <c r="C5" s="7">
        <v>1</v>
      </c>
      <c r="D5" s="10">
        <v>9.4907407407407397E-4</v>
      </c>
      <c r="E5" s="11"/>
      <c r="F5" s="7">
        <v>1</v>
      </c>
      <c r="G5" s="10">
        <v>1.58564814814815E-3</v>
      </c>
      <c r="H5" s="11"/>
      <c r="I5" s="7">
        <v>1</v>
      </c>
      <c r="J5" s="12">
        <v>1.4814814814814801E-3</v>
      </c>
      <c r="K5" s="11"/>
      <c r="L5" s="7">
        <v>1</v>
      </c>
      <c r="M5" s="10">
        <v>2.1990740740740699E-3</v>
      </c>
      <c r="N5" s="11"/>
      <c r="O5" s="7">
        <v>1</v>
      </c>
      <c r="P5" s="10">
        <v>2.4305555555555601E-4</v>
      </c>
      <c r="Q5" s="11"/>
      <c r="R5" s="7">
        <v>1</v>
      </c>
      <c r="S5" s="10">
        <v>5.78703703703704E-4</v>
      </c>
      <c r="T5" s="11"/>
      <c r="U5" s="7">
        <v>1</v>
      </c>
      <c r="V5" s="10">
        <v>3.9583333333333302E-3</v>
      </c>
      <c r="W5" s="13" t="s">
        <v>64</v>
      </c>
      <c r="X5" s="7">
        <v>1</v>
      </c>
      <c r="Y5" s="10">
        <v>1.49305555555556E-2</v>
      </c>
      <c r="Z5" s="11"/>
      <c r="AA5" s="14"/>
      <c r="AB5" s="14"/>
      <c r="AC5" s="11"/>
      <c r="AD5" s="14"/>
      <c r="AE5" s="14"/>
      <c r="AF5" s="11" t="str">
        <f t="shared" ref="AF5:AF68" si="0">IF(AND(AD5&lt;&gt;"",AE5&lt;&gt;""),(AE5-AD5)*1440,"")</f>
        <v/>
      </c>
      <c r="AG5" s="14"/>
      <c r="AH5" s="14"/>
      <c r="AI5" s="11" t="str">
        <f t="shared" ref="AI5:AI68" si="1">IF(AND(AG5&lt;&gt;"",AH5&lt;&gt;""),(AH5-AG5)*1440,"")</f>
        <v/>
      </c>
      <c r="AJ5" s="14"/>
      <c r="AK5" s="11" t="str">
        <f t="shared" ref="AK5:AK68" si="2">IF(AND(C5&lt;&gt;"",AJ5&lt;&gt;""),(AJ5-C5)*1440,"")</f>
        <v/>
      </c>
      <c r="AL5" s="11" t="str">
        <f t="shared" ref="AL5:AL68" si="3">IF(AC5="","",ROUND(N(AC5),1))</f>
        <v/>
      </c>
      <c r="AM5" s="11" t="e">
        <f>IF(COUNT(D5,G5,J5,M5,P5,S5,V5,Y5,AF5,AI5,AT5,#REF!,AZ5,BC5,#REF!)=0,"",ROUND(N(D5)*1440+N(G5)*1440+N(J5)*1440+N(M5)*1440+N(P5)*1440+N(S5)*1440+N(V5)*1440+N(Y5)*1440+N(AF5)+N(AI5)+N(AT5)+N(#REF!)+N(AZ5)+N(BC5)+N(#REF!),1))</f>
        <v>#REF!</v>
      </c>
      <c r="AN5" s="15" t="str">
        <f t="shared" ref="AN5:AN68" si="4">IF(OR(AK5="",AK5=0),"",AL5/AK5)</f>
        <v/>
      </c>
      <c r="AO5" s="15"/>
      <c r="AP5" s="16"/>
      <c r="AQ5" s="21"/>
      <c r="AR5" s="18">
        <v>0.64861111111111103</v>
      </c>
      <c r="AS5" s="18">
        <v>0.65833333333333299</v>
      </c>
      <c r="AT5" s="60">
        <f>AS5-AR5</f>
        <v>9.7222222222219656E-3</v>
      </c>
      <c r="AU5" s="18">
        <v>0.59791666666666698</v>
      </c>
      <c r="AV5" s="18">
        <v>0.60069444444444398</v>
      </c>
      <c r="AW5" s="60">
        <f>AV5-AU5</f>
        <v>2.7777777777769908E-3</v>
      </c>
      <c r="BA5" s="17" t="s">
        <v>77</v>
      </c>
      <c r="BB5" s="17" t="s">
        <v>77</v>
      </c>
      <c r="BC5" s="60">
        <v>1.4930555555555556E-2</v>
      </c>
      <c r="BD5" s="18">
        <v>0.65972222222222199</v>
      </c>
      <c r="BE5" s="18">
        <v>0.66180555555555598</v>
      </c>
      <c r="BF5" s="60">
        <f>BE5-BD5</f>
        <v>2.0833333333339921E-3</v>
      </c>
      <c r="BG5" s="58" t="s">
        <v>77</v>
      </c>
      <c r="BH5" s="58" t="s">
        <v>77</v>
      </c>
      <c r="BI5" s="10">
        <v>1.1574074074074075E-4</v>
      </c>
      <c r="BJ5" s="63">
        <v>0.28819444444444442</v>
      </c>
      <c r="BK5" s="18"/>
    </row>
    <row r="6" spans="1:65" s="17" customFormat="1" x14ac:dyDescent="0.3">
      <c r="A6" s="23">
        <v>2</v>
      </c>
      <c r="B6" s="7"/>
      <c r="C6" s="7">
        <v>2</v>
      </c>
      <c r="D6" s="10">
        <v>4.6296296296296298E-4</v>
      </c>
      <c r="E6" s="11"/>
      <c r="F6" s="7">
        <v>2</v>
      </c>
      <c r="G6" s="10">
        <v>1.6087962962963E-3</v>
      </c>
      <c r="H6" s="11"/>
      <c r="I6" s="7">
        <v>2</v>
      </c>
      <c r="J6" s="12">
        <v>1.93287037037037E-3</v>
      </c>
      <c r="K6" s="11" t="s">
        <v>65</v>
      </c>
      <c r="L6" s="7">
        <v>2</v>
      </c>
      <c r="M6" s="10">
        <v>3.9120370370370403E-3</v>
      </c>
      <c r="N6" s="11" t="s">
        <v>65</v>
      </c>
      <c r="O6" s="7">
        <v>2</v>
      </c>
      <c r="P6" s="10">
        <v>5.6712962962962999E-4</v>
      </c>
      <c r="Q6" s="11"/>
      <c r="R6" s="7">
        <v>2</v>
      </c>
      <c r="S6" s="10">
        <v>6.2500000000000001E-4</v>
      </c>
      <c r="T6" s="11"/>
      <c r="U6" s="7">
        <v>2</v>
      </c>
      <c r="V6" s="10">
        <v>4.1435185185185203E-3</v>
      </c>
      <c r="W6" s="13" t="s">
        <v>64</v>
      </c>
      <c r="X6" s="7">
        <v>2</v>
      </c>
      <c r="Y6" s="10">
        <v>1.09953703703704E-2</v>
      </c>
      <c r="Z6" s="11"/>
      <c r="AA6" s="14"/>
      <c r="AB6" s="14"/>
      <c r="AC6" s="11"/>
      <c r="AD6" s="14"/>
      <c r="AE6" s="14"/>
      <c r="AF6" s="11" t="str">
        <f t="shared" si="0"/>
        <v/>
      </c>
      <c r="AG6" s="14"/>
      <c r="AH6" s="14"/>
      <c r="AI6" s="11" t="str">
        <f t="shared" si="1"/>
        <v/>
      </c>
      <c r="AJ6" s="14"/>
      <c r="AK6" s="11" t="str">
        <f t="shared" si="2"/>
        <v/>
      </c>
      <c r="AL6" s="11" t="str">
        <f t="shared" si="3"/>
        <v/>
      </c>
      <c r="AM6" s="11" t="e">
        <f>IF(COUNT(D6,G6,J6,M6,P6,S6,V6,Y6,AF6,AI6,AT6,#REF!,AZ6,BC6,#REF!)=0,"",ROUND(N(D6)*1440+N(G6)*1440+N(J6)*1440+N(M6)*1440+N(P6)*1440+N(S6)*1440+N(V6)*1440+N(Y6)*1440+N(AF6)+N(AI6)+N(AT6)+N(#REF!)+N(AZ6)+N(BC6)+N(#REF!),1))</f>
        <v>#REF!</v>
      </c>
      <c r="AN6" s="15" t="str">
        <f t="shared" si="4"/>
        <v/>
      </c>
      <c r="AO6" s="15"/>
      <c r="AP6" s="16"/>
      <c r="AQ6" s="21"/>
      <c r="AR6" s="18">
        <v>0.58402777777777803</v>
      </c>
      <c r="AS6" s="18">
        <v>0.58888888888888902</v>
      </c>
      <c r="AT6" s="60">
        <f t="shared" ref="AT6:AT21" si="5">AS6-AR6</f>
        <v>4.8611111111109828E-3</v>
      </c>
      <c r="AU6" s="18">
        <v>0.62708333333333299</v>
      </c>
      <c r="AV6" s="18">
        <v>0.62777777777777799</v>
      </c>
      <c r="AW6" s="60">
        <f t="shared" ref="AW6:AW17" si="6">AV6-AU6</f>
        <v>6.9444444444499709E-4</v>
      </c>
      <c r="BA6" s="17" t="s">
        <v>77</v>
      </c>
      <c r="BB6" s="17" t="s">
        <v>77</v>
      </c>
      <c r="BC6" s="60">
        <v>1.09953703703704E-2</v>
      </c>
      <c r="BD6" s="18">
        <v>0.58888888888888902</v>
      </c>
      <c r="BE6" s="18">
        <v>0.59097222222222201</v>
      </c>
      <c r="BF6" s="60">
        <f t="shared" ref="BF6:BF30" si="7">BE6-BD6</f>
        <v>2.0833333333329929E-3</v>
      </c>
      <c r="BG6" s="58" t="s">
        <v>77</v>
      </c>
      <c r="BH6" s="58" t="s">
        <v>77</v>
      </c>
      <c r="BI6" s="10">
        <v>6.018518518518519E-4</v>
      </c>
      <c r="BJ6" s="63">
        <v>0.14027777777777778</v>
      </c>
      <c r="BK6" s="18"/>
    </row>
    <row r="7" spans="1:65" s="17" customFormat="1" x14ac:dyDescent="0.3">
      <c r="A7" s="23">
        <v>3</v>
      </c>
      <c r="B7" s="7"/>
      <c r="C7" s="7">
        <v>3</v>
      </c>
      <c r="D7" s="10">
        <v>4.0509259259259301E-4</v>
      </c>
      <c r="E7" s="11"/>
      <c r="F7" s="7">
        <v>3</v>
      </c>
      <c r="G7" s="10">
        <v>1.4236111111111101E-3</v>
      </c>
      <c r="H7" s="11"/>
      <c r="I7" s="7">
        <v>3</v>
      </c>
      <c r="J7" s="12">
        <v>1.33101851851852E-3</v>
      </c>
      <c r="K7" s="11"/>
      <c r="L7" s="7">
        <v>3</v>
      </c>
      <c r="M7" s="10">
        <v>4.2824074074074101E-3</v>
      </c>
      <c r="N7" s="11" t="s">
        <v>66</v>
      </c>
      <c r="O7" s="7">
        <v>3</v>
      </c>
      <c r="P7" s="10">
        <v>4.5138888888888898E-4</v>
      </c>
      <c r="Q7" s="11" t="s">
        <v>66</v>
      </c>
      <c r="R7" s="7">
        <v>3</v>
      </c>
      <c r="S7" s="10">
        <v>5.32407407407407E-4</v>
      </c>
      <c r="T7" s="11" t="s">
        <v>66</v>
      </c>
      <c r="U7" s="7">
        <v>3</v>
      </c>
      <c r="V7" s="10">
        <v>7.2453703703703699E-3</v>
      </c>
      <c r="W7" s="13" t="s">
        <v>64</v>
      </c>
      <c r="X7" s="7">
        <v>3</v>
      </c>
      <c r="Y7" s="10">
        <v>1.10416666666667E-2</v>
      </c>
      <c r="Z7" s="11"/>
      <c r="AA7" s="14"/>
      <c r="AB7" s="14"/>
      <c r="AC7" s="11"/>
      <c r="AD7" s="14"/>
      <c r="AE7" s="14"/>
      <c r="AF7" s="11" t="str">
        <f t="shared" si="0"/>
        <v/>
      </c>
      <c r="AG7" s="14"/>
      <c r="AH7" s="14"/>
      <c r="AI7" s="11" t="str">
        <f t="shared" si="1"/>
        <v/>
      </c>
      <c r="AJ7" s="14"/>
      <c r="AK7" s="11" t="str">
        <f t="shared" si="2"/>
        <v/>
      </c>
      <c r="AL7" s="11" t="str">
        <f t="shared" si="3"/>
        <v/>
      </c>
      <c r="AM7" s="11" t="e">
        <f>IF(COUNT(D7,G7,J7,M7,P7,S7,V7,Y7,AF7,AI7,AT7,#REF!,AZ7,BC7,#REF!)=0,"",ROUND(N(D7)*1440+N(G7)*1440+N(J7)*1440+N(M7)*1440+N(P7)*1440+N(S7)*1440+N(V7)*1440+N(Y7)*1440+N(AF7)+N(AI7)+N(AT7)+N(#REF!)+N(AZ7)+N(BC7)+N(#REF!),1))</f>
        <v>#REF!</v>
      </c>
      <c r="AN7" s="15" t="str">
        <f t="shared" si="4"/>
        <v/>
      </c>
      <c r="AO7" s="15"/>
      <c r="AP7" s="16"/>
      <c r="AQ7" s="21"/>
      <c r="AR7" s="18">
        <v>0.59236111111111101</v>
      </c>
      <c r="AS7" s="18">
        <v>0.59791666666666698</v>
      </c>
      <c r="AT7" s="60">
        <f t="shared" si="5"/>
        <v>5.5555555555559799E-3</v>
      </c>
      <c r="AU7" s="18">
        <v>0.61319444444444504</v>
      </c>
      <c r="AV7" s="18">
        <v>0.61388888888888904</v>
      </c>
      <c r="AW7" s="60">
        <f t="shared" si="6"/>
        <v>6.9444444444399789E-4</v>
      </c>
      <c r="BA7" s="17" t="s">
        <v>77</v>
      </c>
      <c r="BB7" s="17" t="s">
        <v>77</v>
      </c>
      <c r="BC7" s="60">
        <v>1.10416666666667E-2</v>
      </c>
      <c r="BD7" s="18">
        <v>0.59861111111111098</v>
      </c>
      <c r="BE7" s="18">
        <v>0.60138888888888897</v>
      </c>
      <c r="BF7" s="60">
        <f t="shared" si="7"/>
        <v>2.77777777777799E-3</v>
      </c>
      <c r="BG7" s="58" t="s">
        <v>77</v>
      </c>
      <c r="BH7" s="58" t="s">
        <v>77</v>
      </c>
      <c r="BI7" s="10">
        <v>1.3078703703703703E-3</v>
      </c>
      <c r="BJ7" s="63">
        <v>0.66319444444444442</v>
      </c>
      <c r="BK7" s="18"/>
    </row>
    <row r="8" spans="1:65" s="17" customFormat="1" x14ac:dyDescent="0.3">
      <c r="A8" s="23">
        <v>4</v>
      </c>
      <c r="B8" s="7"/>
      <c r="C8" s="7">
        <v>4</v>
      </c>
      <c r="D8" s="10">
        <v>1.16898148148148E-3</v>
      </c>
      <c r="E8" s="11"/>
      <c r="F8" s="7">
        <v>4</v>
      </c>
      <c r="G8" s="10">
        <v>3.3101851851851899E-3</v>
      </c>
      <c r="H8" s="11"/>
      <c r="I8" s="7">
        <v>4</v>
      </c>
      <c r="J8" s="12">
        <v>2.0833333333333298E-3</v>
      </c>
      <c r="K8" s="11" t="s">
        <v>66</v>
      </c>
      <c r="L8" s="7">
        <v>4</v>
      </c>
      <c r="M8" s="10">
        <v>2.0138888888888901E-3</v>
      </c>
      <c r="N8" s="11"/>
      <c r="O8" s="7">
        <v>4</v>
      </c>
      <c r="P8" s="10">
        <v>2.3148148148148201E-4</v>
      </c>
      <c r="Q8" s="11"/>
      <c r="R8" s="7">
        <v>4</v>
      </c>
      <c r="S8" s="10">
        <v>6.5972222222222203E-4</v>
      </c>
      <c r="T8" s="11"/>
      <c r="U8" s="7">
        <v>4</v>
      </c>
      <c r="V8" s="10">
        <v>1.6435185185185201E-3</v>
      </c>
      <c r="W8" s="13" t="s">
        <v>64</v>
      </c>
      <c r="X8" s="7">
        <v>4</v>
      </c>
      <c r="Y8" s="10">
        <v>1.5034722222222199E-2</v>
      </c>
      <c r="Z8" s="11"/>
      <c r="AA8" s="14"/>
      <c r="AB8" s="14"/>
      <c r="AC8" s="11"/>
      <c r="AD8" s="14"/>
      <c r="AE8" s="14"/>
      <c r="AF8" s="11" t="str">
        <f t="shared" si="0"/>
        <v/>
      </c>
      <c r="AG8" s="14"/>
      <c r="AH8" s="14"/>
      <c r="AI8" s="11" t="str">
        <f t="shared" si="1"/>
        <v/>
      </c>
      <c r="AJ8" s="14"/>
      <c r="AK8" s="11" t="str">
        <f t="shared" si="2"/>
        <v/>
      </c>
      <c r="AL8" s="11" t="str">
        <f t="shared" si="3"/>
        <v/>
      </c>
      <c r="AM8" s="11" t="e">
        <f>IF(COUNT(D8,G8,J8,M8,P8,S8,V8,Y8,AF8,AI8,AT8,#REF!,AZ8,BC8,#REF!)=0,"",ROUND(N(D8)*1440+N(G8)*1440+N(J8)*1440+N(M8)*1440+N(P8)*1440+N(S8)*1440+N(V8)*1440+N(Y8)*1440+N(AF8)+N(AI8)+N(AT8)+N(#REF!)+N(AZ8)+N(BC8)+N(#REF!),1))</f>
        <v>#REF!</v>
      </c>
      <c r="AN8" s="15" t="str">
        <f t="shared" si="4"/>
        <v/>
      </c>
      <c r="AO8" s="15"/>
      <c r="AP8" s="16"/>
      <c r="AQ8" s="21"/>
      <c r="AR8" s="18">
        <v>0.61944444444444502</v>
      </c>
      <c r="AS8" s="18">
        <v>0.62708333333333299</v>
      </c>
      <c r="AT8" s="60">
        <f t="shared" si="5"/>
        <v>7.6388888888879736E-3</v>
      </c>
      <c r="AU8" s="18">
        <v>0.36597222222222198</v>
      </c>
      <c r="AV8" s="18">
        <v>0.36666666666666697</v>
      </c>
      <c r="AW8" s="60">
        <f t="shared" si="6"/>
        <v>6.9444444444499709E-4</v>
      </c>
      <c r="BA8" s="17" t="s">
        <v>77</v>
      </c>
      <c r="BB8" s="17" t="s">
        <v>77</v>
      </c>
      <c r="BC8" s="60">
        <v>1.5034722222222199E-2</v>
      </c>
      <c r="BD8" s="18">
        <v>0.62847222222222199</v>
      </c>
      <c r="BE8" s="18">
        <v>0.63055555555555598</v>
      </c>
      <c r="BF8" s="60">
        <f t="shared" si="7"/>
        <v>2.0833333333339921E-3</v>
      </c>
      <c r="BG8" s="58" t="s">
        <v>77</v>
      </c>
      <c r="BH8" s="58" t="s">
        <v>77</v>
      </c>
      <c r="BI8" s="10">
        <v>3.0092592592592595E-4</v>
      </c>
      <c r="BJ8" s="63">
        <v>0.34722222222222221</v>
      </c>
      <c r="BK8" s="18"/>
    </row>
    <row r="9" spans="1:65" s="17" customFormat="1" x14ac:dyDescent="0.3">
      <c r="A9" s="23">
        <v>5</v>
      </c>
      <c r="B9" s="7"/>
      <c r="C9" s="7">
        <v>5</v>
      </c>
      <c r="D9" s="10">
        <v>3.8194444444444501E-4</v>
      </c>
      <c r="E9" s="11"/>
      <c r="F9" s="7">
        <v>5</v>
      </c>
      <c r="G9" s="10">
        <v>2.0254629629629598E-3</v>
      </c>
      <c r="H9" s="11"/>
      <c r="I9" s="7">
        <v>5</v>
      </c>
      <c r="J9" s="12">
        <v>1.4236111111111101E-3</v>
      </c>
      <c r="K9" s="11"/>
      <c r="L9" s="7">
        <v>5</v>
      </c>
      <c r="M9" s="10">
        <v>5.78703703703704E-4</v>
      </c>
      <c r="N9" s="11"/>
      <c r="O9" s="7">
        <v>5</v>
      </c>
      <c r="P9" s="10">
        <v>5.90277777777778E-4</v>
      </c>
      <c r="Q9" s="11"/>
      <c r="R9" s="7">
        <v>5</v>
      </c>
      <c r="S9" s="10">
        <v>3.8194444444444501E-4</v>
      </c>
      <c r="T9" s="11"/>
      <c r="U9" s="7">
        <v>5</v>
      </c>
      <c r="V9" s="10">
        <v>5.37037037037037E-3</v>
      </c>
      <c r="W9" s="13" t="s">
        <v>64</v>
      </c>
      <c r="X9" s="7">
        <v>5</v>
      </c>
      <c r="Y9" s="10">
        <v>1.15277777777778E-2</v>
      </c>
      <c r="Z9" s="11"/>
      <c r="AA9" s="14"/>
      <c r="AB9" s="14"/>
      <c r="AC9" s="11"/>
      <c r="AD9" s="14"/>
      <c r="AE9" s="14"/>
      <c r="AF9" s="11" t="str">
        <f t="shared" si="0"/>
        <v/>
      </c>
      <c r="AG9" s="14"/>
      <c r="AH9" s="14"/>
      <c r="AI9" s="11" t="str">
        <f t="shared" si="1"/>
        <v/>
      </c>
      <c r="AJ9" s="14"/>
      <c r="AK9" s="11" t="str">
        <f t="shared" si="2"/>
        <v/>
      </c>
      <c r="AL9" s="11" t="str">
        <f t="shared" si="3"/>
        <v/>
      </c>
      <c r="AM9" s="11" t="e">
        <f>IF(COUNT(D9,G9,J9,M9,P9,S9,V9,Y9,AF9,AI9,AT9,#REF!,AZ9,BC9,#REF!)=0,"",ROUND(N(D9)*1440+N(G9)*1440+N(J9)*1440+N(M9)*1440+N(P9)*1440+N(S9)*1440+N(V9)*1440+N(Y9)*1440+N(AF9)+N(AI9)+N(AT9)+N(#REF!)+N(AZ9)+N(BC9)+N(#REF!),1))</f>
        <v>#REF!</v>
      </c>
      <c r="AN9" s="15" t="str">
        <f t="shared" si="4"/>
        <v/>
      </c>
      <c r="AO9" s="15"/>
      <c r="AP9" s="16"/>
      <c r="AQ9" s="21"/>
      <c r="AR9" s="18">
        <v>0.60902777777777795</v>
      </c>
      <c r="AS9" s="18">
        <v>0.61319444444444504</v>
      </c>
      <c r="AT9" s="60">
        <f t="shared" si="5"/>
        <v>4.166666666667096E-3</v>
      </c>
      <c r="AU9" s="18">
        <v>0.40277777777777801</v>
      </c>
      <c r="AV9" s="18">
        <v>0.40347222222222201</v>
      </c>
      <c r="AW9" s="60">
        <f t="shared" si="6"/>
        <v>6.9444444444399789E-4</v>
      </c>
      <c r="BA9" s="17" t="s">
        <v>77</v>
      </c>
      <c r="BB9" s="17" t="s">
        <v>77</v>
      </c>
      <c r="BC9" s="60">
        <v>1.15277777777778E-2</v>
      </c>
      <c r="BD9" s="18">
        <v>0.61458333333333304</v>
      </c>
      <c r="BE9" s="18">
        <v>0.61597222222222203</v>
      </c>
      <c r="BF9" s="60">
        <f t="shared" si="7"/>
        <v>1.388888888888995E-3</v>
      </c>
      <c r="BG9" s="58">
        <v>0.2951388888888889</v>
      </c>
      <c r="BH9" s="58">
        <v>0.29791666666666666</v>
      </c>
      <c r="BI9" s="10">
        <f>BG10-BH9</f>
        <v>1.1805555555555569E-2</v>
      </c>
      <c r="BJ9" s="60">
        <f>BH9-BG9</f>
        <v>2.7777777777777679E-3</v>
      </c>
    </row>
    <row r="10" spans="1:65" s="17" customFormat="1" x14ac:dyDescent="0.3">
      <c r="A10" s="23">
        <v>6</v>
      </c>
      <c r="B10" s="7"/>
      <c r="C10" s="7">
        <v>6</v>
      </c>
      <c r="D10" s="10">
        <v>3.00925925925926E-4</v>
      </c>
      <c r="E10" s="11"/>
      <c r="F10" s="7">
        <v>6</v>
      </c>
      <c r="G10" s="10">
        <v>2.2800925925925901E-3</v>
      </c>
      <c r="H10" s="11"/>
      <c r="I10" s="7">
        <v>6</v>
      </c>
      <c r="J10" s="12">
        <v>1.3657407407407401E-3</v>
      </c>
      <c r="K10" s="11"/>
      <c r="L10" s="7">
        <v>6</v>
      </c>
      <c r="M10" s="10">
        <v>2.2222222222222201E-3</v>
      </c>
      <c r="N10" s="11"/>
      <c r="O10" s="7">
        <v>6</v>
      </c>
      <c r="P10" s="10">
        <v>1.4351851851851899E-3</v>
      </c>
      <c r="Q10" s="11" t="s">
        <v>66</v>
      </c>
      <c r="R10" s="7">
        <v>6</v>
      </c>
      <c r="S10" s="10">
        <v>1.0416666666666699E-3</v>
      </c>
      <c r="T10" s="11" t="s">
        <v>66</v>
      </c>
      <c r="U10" s="7">
        <v>6</v>
      </c>
      <c r="V10" s="10">
        <v>2.2800925925925901E-3</v>
      </c>
      <c r="W10" s="13" t="s">
        <v>67</v>
      </c>
      <c r="X10" s="7">
        <v>6</v>
      </c>
      <c r="Y10" s="10">
        <v>1.2789351851851901E-2</v>
      </c>
      <c r="Z10" s="11"/>
      <c r="AA10" s="14"/>
      <c r="AB10" s="14"/>
      <c r="AC10" s="11"/>
      <c r="AD10" s="14"/>
      <c r="AE10" s="14"/>
      <c r="AF10" s="11" t="str">
        <f t="shared" si="0"/>
        <v/>
      </c>
      <c r="AG10" s="14"/>
      <c r="AH10" s="14"/>
      <c r="AI10" s="11" t="str">
        <f t="shared" si="1"/>
        <v/>
      </c>
      <c r="AJ10" s="14"/>
      <c r="AK10" s="11" t="str">
        <f t="shared" si="2"/>
        <v/>
      </c>
      <c r="AL10" s="11" t="str">
        <f t="shared" si="3"/>
        <v/>
      </c>
      <c r="AM10" s="11" t="e">
        <f>IF(COUNT(D10,G10,J10,M10,P10,S10,V10,Y10,AF10,AI10,AT10,#REF!,AZ10,BC10,#REF!)=0,"",ROUND(N(D10)*1440+N(G10)*1440+N(J10)*1440+N(M10)*1440+N(P10)*1440+N(S10)*1440+N(V10)*1440+N(Y10)*1440+N(AF10)+N(AI10)+N(AT10)+N(#REF!)+N(AZ10)+N(BC10)+N(#REF!),1))</f>
        <v>#REF!</v>
      </c>
      <c r="AN10" s="15" t="str">
        <f t="shared" si="4"/>
        <v/>
      </c>
      <c r="AO10" s="15"/>
      <c r="AP10" s="16"/>
      <c r="AQ10" s="21"/>
      <c r="AR10" s="18">
        <v>0.593055555555556</v>
      </c>
      <c r="AS10" s="18">
        <v>0.60694444444444395</v>
      </c>
      <c r="AT10" s="60">
        <f t="shared" si="5"/>
        <v>1.3888888888887951E-2</v>
      </c>
      <c r="AU10" s="18">
        <v>0.40902777777777799</v>
      </c>
      <c r="AV10" s="18">
        <v>0.40972222222222199</v>
      </c>
      <c r="AW10" s="60">
        <f t="shared" si="6"/>
        <v>6.9444444444399789E-4</v>
      </c>
      <c r="BA10" s="17" t="s">
        <v>77</v>
      </c>
      <c r="BB10" s="17" t="s">
        <v>77</v>
      </c>
      <c r="BC10" s="60">
        <v>1.2789351851851901E-2</v>
      </c>
      <c r="BD10" s="18">
        <v>0.60763888888888895</v>
      </c>
      <c r="BE10" s="18">
        <v>0.60972222222222205</v>
      </c>
      <c r="BF10" s="60">
        <f t="shared" si="7"/>
        <v>2.0833333333331039E-3</v>
      </c>
      <c r="BG10" s="58">
        <v>0.30972222222222223</v>
      </c>
      <c r="BH10" s="58">
        <v>0.31041666666666667</v>
      </c>
      <c r="BI10" s="10">
        <f t="shared" ref="BI10:BI34" si="8">BG11-BH10</f>
        <v>1.2500000000000011E-2</v>
      </c>
      <c r="BJ10" s="60">
        <f t="shared" ref="BJ10:BJ73" si="9">BH10-BG10</f>
        <v>6.9444444444444198E-4</v>
      </c>
    </row>
    <row r="11" spans="1:65" s="17" customFormat="1" x14ac:dyDescent="0.3">
      <c r="A11" s="23">
        <v>7</v>
      </c>
      <c r="B11" s="7"/>
      <c r="C11" s="7">
        <v>7</v>
      </c>
      <c r="D11" s="10">
        <v>1.7361111111111101E-4</v>
      </c>
      <c r="E11" s="13" t="s">
        <v>68</v>
      </c>
      <c r="F11" s="7">
        <v>7</v>
      </c>
      <c r="G11" s="10">
        <v>1.68981481481482E-3</v>
      </c>
      <c r="H11" s="11"/>
      <c r="I11" s="7">
        <v>7</v>
      </c>
      <c r="J11" s="12">
        <v>2.1990740740740699E-3</v>
      </c>
      <c r="K11" s="11"/>
      <c r="L11" s="7">
        <v>7</v>
      </c>
      <c r="M11" s="10">
        <v>1.57407407407407E-3</v>
      </c>
      <c r="N11" s="11"/>
      <c r="O11" s="7">
        <v>7</v>
      </c>
      <c r="P11" s="10">
        <v>1.4351851851851899E-3</v>
      </c>
      <c r="Q11" s="11" t="s">
        <v>66</v>
      </c>
      <c r="R11" s="7">
        <v>7</v>
      </c>
      <c r="S11" s="10">
        <v>1.0648148148148201E-3</v>
      </c>
      <c r="T11" s="11"/>
      <c r="U11" s="7">
        <v>7</v>
      </c>
      <c r="V11" s="10">
        <v>6.6898148148148203E-3</v>
      </c>
      <c r="W11" s="13" t="s">
        <v>64</v>
      </c>
      <c r="X11" s="7">
        <v>7</v>
      </c>
      <c r="Y11" s="10">
        <v>1.17013888888889E-2</v>
      </c>
      <c r="Z11" s="11"/>
      <c r="AA11" s="14"/>
      <c r="AB11" s="14"/>
      <c r="AC11" s="11"/>
      <c r="AD11" s="14"/>
      <c r="AE11" s="14"/>
      <c r="AF11" s="11" t="str">
        <f t="shared" si="0"/>
        <v/>
      </c>
      <c r="AG11" s="14"/>
      <c r="AH11" s="14"/>
      <c r="AI11" s="11" t="str">
        <f t="shared" si="1"/>
        <v/>
      </c>
      <c r="AJ11" s="14"/>
      <c r="AK11" s="11" t="str">
        <f t="shared" si="2"/>
        <v/>
      </c>
      <c r="AL11" s="11" t="str">
        <f t="shared" si="3"/>
        <v/>
      </c>
      <c r="AM11" s="11" t="e">
        <f>IF(COUNT(D11,G11,J11,M11,P11,S11,V11,Y11,AF11,AI11,AT11,#REF!,AZ11,BC11,#REF!)=0,"",ROUND(N(D11)*1440+N(G11)*1440+N(J11)*1440+N(M11)*1440+N(P11)*1440+N(S11)*1440+N(V11)*1440+N(Y11)*1440+N(AF11)+N(AI11)+N(AT11)+N(#REF!)+N(AZ11)+N(BC11)+N(#REF!),1))</f>
        <v>#REF!</v>
      </c>
      <c r="AN11" s="15" t="str">
        <f t="shared" si="4"/>
        <v/>
      </c>
      <c r="AO11" s="15"/>
      <c r="AP11" s="16"/>
      <c r="AQ11" s="21"/>
      <c r="AR11" s="18">
        <v>0.36111111111111099</v>
      </c>
      <c r="AS11" s="18">
        <v>0.36597222222222198</v>
      </c>
      <c r="AT11" s="60">
        <f t="shared" si="5"/>
        <v>4.8611111111109828E-3</v>
      </c>
      <c r="AU11" s="18">
        <v>0.58750000000000002</v>
      </c>
      <c r="AV11" s="18">
        <v>0.58819444444444502</v>
      </c>
      <c r="AW11" s="60">
        <f t="shared" si="6"/>
        <v>6.9444444444499709E-4</v>
      </c>
      <c r="BA11" s="17" t="s">
        <v>77</v>
      </c>
      <c r="BB11" s="17" t="s">
        <v>77</v>
      </c>
      <c r="BC11" s="60">
        <v>1.17013888888889E-2</v>
      </c>
      <c r="BD11" s="18">
        <v>0.36666666666666697</v>
      </c>
      <c r="BE11" s="18">
        <v>0.36944444444444502</v>
      </c>
      <c r="BF11" s="60">
        <f t="shared" si="7"/>
        <v>2.7777777777780455E-3</v>
      </c>
      <c r="BG11" s="58">
        <v>0.32291666666666669</v>
      </c>
      <c r="BH11" s="58">
        <v>0.32361111111111113</v>
      </c>
      <c r="BI11" s="10">
        <f t="shared" si="8"/>
        <v>2.7777777777777679E-3</v>
      </c>
      <c r="BJ11" s="60">
        <f t="shared" si="9"/>
        <v>6.9444444444444198E-4</v>
      </c>
    </row>
    <row r="12" spans="1:65" s="17" customFormat="1" x14ac:dyDescent="0.3">
      <c r="A12" s="23">
        <v>9</v>
      </c>
      <c r="B12" s="7"/>
      <c r="C12" s="7">
        <v>9</v>
      </c>
      <c r="D12" s="10">
        <v>1.15740740740741E-4</v>
      </c>
      <c r="E12" s="13" t="s">
        <v>69</v>
      </c>
      <c r="F12" s="7">
        <v>9</v>
      </c>
      <c r="G12" s="10">
        <v>1.5740740740740741E-3</v>
      </c>
      <c r="H12" s="11"/>
      <c r="I12" s="7">
        <v>8</v>
      </c>
      <c r="J12" s="12">
        <v>2.6504629629629599E-3</v>
      </c>
      <c r="K12" s="11" t="s">
        <v>66</v>
      </c>
      <c r="L12" s="7">
        <v>8</v>
      </c>
      <c r="M12" s="10">
        <v>2.2222222222222201E-3</v>
      </c>
      <c r="N12" s="11"/>
      <c r="O12" s="7">
        <v>8</v>
      </c>
      <c r="P12" s="10">
        <v>1.03009259259259E-3</v>
      </c>
      <c r="Q12" s="11"/>
      <c r="R12" s="7">
        <v>8</v>
      </c>
      <c r="S12" s="10">
        <v>1.0416666666666699E-3</v>
      </c>
      <c r="T12" s="11" t="s">
        <v>66</v>
      </c>
      <c r="U12" s="7">
        <v>8</v>
      </c>
      <c r="V12" s="10">
        <v>1.7013888888888901E-3</v>
      </c>
      <c r="W12" s="13" t="s">
        <v>67</v>
      </c>
      <c r="X12" s="7">
        <v>8</v>
      </c>
      <c r="Y12" s="10">
        <v>9.3749999999999997E-3</v>
      </c>
      <c r="Z12" s="11"/>
      <c r="AA12" s="14"/>
      <c r="AB12" s="14"/>
      <c r="AC12" s="11"/>
      <c r="AD12" s="14"/>
      <c r="AE12" s="14"/>
      <c r="AF12" s="11" t="str">
        <f t="shared" si="0"/>
        <v/>
      </c>
      <c r="AG12" s="14"/>
      <c r="AH12" s="14"/>
      <c r="AI12" s="11" t="str">
        <f t="shared" si="1"/>
        <v/>
      </c>
      <c r="AJ12" s="14"/>
      <c r="AK12" s="11" t="str">
        <f t="shared" si="2"/>
        <v/>
      </c>
      <c r="AL12" s="11" t="str">
        <f t="shared" si="3"/>
        <v/>
      </c>
      <c r="AM12" s="11" t="e">
        <f>IF(COUNT(D12,G12,J12,M12,P12,S12,V12,Y12,AF12,AI12,AT12,#REF!,AZ12,BC12,#REF!)=0,"",ROUND(N(D12)*1440+N(G12)*1440+N(J12)*1440+N(M12)*1440+N(P12)*1440+N(S12)*1440+N(V12)*1440+N(Y12)*1440+N(AF12)+N(AI12)+N(AT12)+N(#REF!)+N(AZ12)+N(BC12)+N(#REF!),1))</f>
        <v>#REF!</v>
      </c>
      <c r="AN12" s="15" t="str">
        <f t="shared" si="4"/>
        <v/>
      </c>
      <c r="AO12" s="15"/>
      <c r="AP12" s="16"/>
      <c r="AQ12" s="21"/>
      <c r="AR12" s="18">
        <v>0.36944444444444502</v>
      </c>
      <c r="AS12" s="18">
        <v>0.37291666666666701</v>
      </c>
      <c r="AT12" s="60">
        <f t="shared" si="5"/>
        <v>3.4722222222219878E-3</v>
      </c>
      <c r="AU12" s="18">
        <v>0.57013888888888897</v>
      </c>
      <c r="AV12" s="18">
        <v>0.57152777777777797</v>
      </c>
      <c r="AW12" s="60">
        <f t="shared" si="6"/>
        <v>1.388888888888995E-3</v>
      </c>
      <c r="BA12" s="17" t="s">
        <v>77</v>
      </c>
      <c r="BB12" s="17" t="s">
        <v>77</v>
      </c>
      <c r="BC12" s="60">
        <v>9.3749999999999997E-3</v>
      </c>
      <c r="BD12" s="18">
        <v>0.37291666666666701</v>
      </c>
      <c r="BE12" s="18">
        <v>0.374305555555556</v>
      </c>
      <c r="BF12" s="60">
        <f t="shared" si="7"/>
        <v>1.388888888888995E-3</v>
      </c>
      <c r="BG12" s="58">
        <v>0.3263888888888889</v>
      </c>
      <c r="BH12" s="58">
        <v>0.32777777777777778</v>
      </c>
      <c r="BI12" s="10">
        <f t="shared" si="8"/>
        <v>0</v>
      </c>
      <c r="BJ12" s="60">
        <f t="shared" si="9"/>
        <v>1.388888888888884E-3</v>
      </c>
    </row>
    <row r="13" spans="1:65" s="17" customFormat="1" x14ac:dyDescent="0.3">
      <c r="A13" s="23">
        <v>10</v>
      </c>
      <c r="B13" s="7"/>
      <c r="C13" s="7">
        <v>10</v>
      </c>
      <c r="D13" s="10">
        <v>1.7361111111111101E-4</v>
      </c>
      <c r="E13" s="11"/>
      <c r="F13" s="7">
        <v>10</v>
      </c>
      <c r="G13" s="10">
        <v>3.8310185185185183E-3</v>
      </c>
      <c r="H13" s="11"/>
      <c r="I13" s="7">
        <v>9</v>
      </c>
      <c r="J13" s="12">
        <v>3.3912037037037001E-3</v>
      </c>
      <c r="K13" s="11"/>
      <c r="L13" s="7">
        <v>9</v>
      </c>
      <c r="M13" s="10">
        <v>5.5555555555555601E-3</v>
      </c>
      <c r="N13" s="11" t="s">
        <v>66</v>
      </c>
      <c r="O13" s="7">
        <v>9</v>
      </c>
      <c r="P13" s="10">
        <v>6.2500000000000001E-4</v>
      </c>
      <c r="Q13" s="11"/>
      <c r="R13" s="7">
        <v>9</v>
      </c>
      <c r="S13" s="10">
        <v>1.0069444444444401E-3</v>
      </c>
      <c r="T13" s="11"/>
      <c r="U13" s="7">
        <v>9</v>
      </c>
      <c r="V13" s="10">
        <v>8.3101851851851791E-3</v>
      </c>
      <c r="W13" s="13" t="s">
        <v>64</v>
      </c>
      <c r="X13" s="7">
        <v>9</v>
      </c>
      <c r="Y13" s="10">
        <v>9.7916666666666707E-3</v>
      </c>
      <c r="Z13" s="11"/>
      <c r="AA13" s="14"/>
      <c r="AB13" s="14"/>
      <c r="AC13" s="11"/>
      <c r="AD13" s="14"/>
      <c r="AE13" s="14"/>
      <c r="AF13" s="11" t="str">
        <f t="shared" si="0"/>
        <v/>
      </c>
      <c r="AG13" s="14"/>
      <c r="AH13" s="14"/>
      <c r="AI13" s="11" t="str">
        <f t="shared" si="1"/>
        <v/>
      </c>
      <c r="AJ13" s="14"/>
      <c r="AK13" s="11" t="str">
        <f t="shared" si="2"/>
        <v/>
      </c>
      <c r="AL13" s="11" t="str">
        <f t="shared" si="3"/>
        <v/>
      </c>
      <c r="AM13" s="11" t="e">
        <f>IF(COUNT(D13,G13,J13,M13,P13,S13,V13,Y13,AF13,AI13,AT13,#REF!,AZ13,BC13,#REF!)=0,"",ROUND(N(D13)*1440+N(G13)*1440+N(J13)*1440+N(M13)*1440+N(P13)*1440+N(S13)*1440+N(V13)*1440+N(Y13)*1440+N(AF13)+N(AI13)+N(AT13)+N(#REF!)+N(AZ13)+N(BC13)+N(#REF!),1))</f>
        <v>#REF!</v>
      </c>
      <c r="AN13" s="15" t="str">
        <f t="shared" si="4"/>
        <v/>
      </c>
      <c r="AO13" s="15"/>
      <c r="AP13" s="16"/>
      <c r="AQ13" s="21"/>
      <c r="AR13" s="18">
        <v>0.36944444444444502</v>
      </c>
      <c r="AS13" s="18">
        <v>0.37291666666666701</v>
      </c>
      <c r="AT13" s="60">
        <f t="shared" si="5"/>
        <v>3.4722222222219878E-3</v>
      </c>
      <c r="AU13" s="18">
        <v>0.64236111111111105</v>
      </c>
      <c r="AV13" s="18">
        <v>0.64375000000000004</v>
      </c>
      <c r="AW13" s="60">
        <f t="shared" si="6"/>
        <v>1.388888888888995E-3</v>
      </c>
      <c r="BA13" s="17" t="s">
        <v>77</v>
      </c>
      <c r="BB13" s="17" t="s">
        <v>77</v>
      </c>
      <c r="BC13" s="60">
        <v>9.7916666666666707E-3</v>
      </c>
      <c r="BD13" s="18">
        <v>0.39930555555555602</v>
      </c>
      <c r="BE13" s="18">
        <v>0.40069444444444502</v>
      </c>
      <c r="BF13" s="60">
        <f t="shared" si="7"/>
        <v>1.388888888888995E-3</v>
      </c>
      <c r="BG13" s="58">
        <v>0.32777777777777778</v>
      </c>
      <c r="BH13" s="58">
        <v>0.32916666666666666</v>
      </c>
      <c r="BI13" s="10">
        <f t="shared" si="8"/>
        <v>0</v>
      </c>
      <c r="BJ13" s="60">
        <f t="shared" si="9"/>
        <v>1.388888888888884E-3</v>
      </c>
    </row>
    <row r="14" spans="1:65" s="17" customFormat="1" x14ac:dyDescent="0.3">
      <c r="A14" s="23">
        <v>11</v>
      </c>
      <c r="B14" s="7"/>
      <c r="C14" s="7">
        <v>11</v>
      </c>
      <c r="D14" s="10">
        <v>4.3981481481481503E-4</v>
      </c>
      <c r="E14" s="11"/>
      <c r="F14" s="7">
        <v>11</v>
      </c>
      <c r="G14" s="10">
        <v>1.3425925925925925E-3</v>
      </c>
      <c r="H14" s="11"/>
      <c r="I14" s="7">
        <v>10</v>
      </c>
      <c r="J14" s="12">
        <v>1.6203703703703703E-3</v>
      </c>
      <c r="K14" s="11"/>
      <c r="L14" s="7">
        <v>10</v>
      </c>
      <c r="M14" s="10">
        <v>4.8958333333333302E-3</v>
      </c>
      <c r="N14" s="11"/>
      <c r="O14" s="7">
        <v>10</v>
      </c>
      <c r="P14" s="10">
        <v>1.7361111111111099E-3</v>
      </c>
      <c r="Q14" s="11" t="s">
        <v>66</v>
      </c>
      <c r="R14" s="7">
        <v>10</v>
      </c>
      <c r="S14" s="10">
        <v>1.1574074074074099E-3</v>
      </c>
      <c r="T14" s="11"/>
      <c r="U14" s="7">
        <v>10</v>
      </c>
      <c r="V14" s="10">
        <v>2.88194444444444E-3</v>
      </c>
      <c r="W14" s="13" t="s">
        <v>67</v>
      </c>
      <c r="X14" s="7">
        <v>10</v>
      </c>
      <c r="Y14" s="14"/>
      <c r="Z14" s="11"/>
      <c r="AA14" s="14"/>
      <c r="AB14" s="14"/>
      <c r="AC14" s="11"/>
      <c r="AD14" s="14"/>
      <c r="AE14" s="14"/>
      <c r="AF14" s="11" t="str">
        <f t="shared" si="0"/>
        <v/>
      </c>
      <c r="AG14" s="14"/>
      <c r="AH14" s="14"/>
      <c r="AI14" s="11" t="str">
        <f t="shared" si="1"/>
        <v/>
      </c>
      <c r="AJ14" s="14"/>
      <c r="AK14" s="11" t="str">
        <f t="shared" si="2"/>
        <v/>
      </c>
      <c r="AL14" s="11" t="str">
        <f t="shared" si="3"/>
        <v/>
      </c>
      <c r="AM14" s="11" t="e">
        <f>IF(COUNT(D14,G14,J14,M14,P14,S14,V14,Y14,AF14,AI14,AT14,#REF!,AZ14,BC14,#REF!)=0,"",ROUND(N(D14)*1440+N(G14)*1440+N(J14)*1440+N(M14)*1440+N(P14)*1440+N(S14)*1440+N(V14)*1440+N(Y14)*1440+N(AF14)+N(AI14)+N(AT14)+N(#REF!)+N(AZ14)+N(BC14)+N(#REF!),1))</f>
        <v>#REF!</v>
      </c>
      <c r="AN14" s="15" t="str">
        <f t="shared" si="4"/>
        <v/>
      </c>
      <c r="AO14" s="15"/>
      <c r="AP14" s="16"/>
      <c r="AQ14" s="21"/>
      <c r="AR14" s="18">
        <v>0.40069444444444502</v>
      </c>
      <c r="AS14" s="18">
        <v>0.40347222222222201</v>
      </c>
      <c r="AT14" s="60">
        <f t="shared" si="5"/>
        <v>2.7777777777769908E-3</v>
      </c>
      <c r="AU14" s="18">
        <v>0.67430555555555605</v>
      </c>
      <c r="AV14" s="18">
        <v>0.67500000000000004</v>
      </c>
      <c r="AW14" s="60">
        <f t="shared" si="6"/>
        <v>6.9444444444399789E-4</v>
      </c>
      <c r="BA14" s="18">
        <v>0.58888888888888902</v>
      </c>
      <c r="BB14" s="18">
        <v>0.60347222222222219</v>
      </c>
      <c r="BC14" s="60">
        <f>BB14-BA14</f>
        <v>1.4583333333333171E-2</v>
      </c>
      <c r="BD14" s="18">
        <v>0.36458333333333298</v>
      </c>
      <c r="BE14" s="18">
        <v>0.36597222222222198</v>
      </c>
      <c r="BF14" s="60">
        <f t="shared" si="7"/>
        <v>1.388888888888995E-3</v>
      </c>
      <c r="BG14" s="58">
        <v>0.32916666666666666</v>
      </c>
      <c r="BH14" s="58">
        <v>0.33055555555555555</v>
      </c>
      <c r="BI14" s="10">
        <f t="shared" si="8"/>
        <v>1.388888888888884E-3</v>
      </c>
      <c r="BJ14" s="60">
        <f t="shared" si="9"/>
        <v>1.388888888888884E-3</v>
      </c>
    </row>
    <row r="15" spans="1:65" s="17" customFormat="1" x14ac:dyDescent="0.3">
      <c r="A15" s="23">
        <v>12</v>
      </c>
      <c r="B15" s="7"/>
      <c r="C15" s="7">
        <v>12</v>
      </c>
      <c r="D15" s="10">
        <v>5.5555555555555599E-4</v>
      </c>
      <c r="E15" s="11"/>
      <c r="F15" s="7">
        <v>12</v>
      </c>
      <c r="G15" s="10">
        <v>1.3078703703703703E-3</v>
      </c>
      <c r="H15" s="11"/>
      <c r="I15" s="7">
        <v>11</v>
      </c>
      <c r="J15" s="12">
        <v>2.8124999999999999E-3</v>
      </c>
      <c r="K15" s="11"/>
      <c r="L15" s="7">
        <v>11</v>
      </c>
      <c r="M15" s="10">
        <v>2.44212962962963E-3</v>
      </c>
      <c r="N15" s="11"/>
      <c r="O15" s="7">
        <v>11</v>
      </c>
      <c r="P15" s="10">
        <v>1.8402777777777801E-3</v>
      </c>
      <c r="Q15" s="11" t="s">
        <v>66</v>
      </c>
      <c r="R15" s="7">
        <v>11</v>
      </c>
      <c r="S15" s="10">
        <v>5.09259259259259E-4</v>
      </c>
      <c r="T15" s="11"/>
      <c r="U15" s="7">
        <v>11</v>
      </c>
      <c r="V15" s="10">
        <v>7.8935185185185202E-3</v>
      </c>
      <c r="W15" s="13" t="s">
        <v>70</v>
      </c>
      <c r="X15" s="7">
        <v>11</v>
      </c>
      <c r="Y15" s="14"/>
      <c r="Z15" s="11"/>
      <c r="AA15" s="14"/>
      <c r="AB15" s="14"/>
      <c r="AC15" s="11"/>
      <c r="AD15" s="14"/>
      <c r="AE15" s="14"/>
      <c r="AF15" s="11" t="str">
        <f t="shared" si="0"/>
        <v/>
      </c>
      <c r="AG15" s="14"/>
      <c r="AH15" s="14"/>
      <c r="AI15" s="11" t="str">
        <f t="shared" si="1"/>
        <v/>
      </c>
      <c r="AJ15" s="14"/>
      <c r="AK15" s="11" t="str">
        <f t="shared" si="2"/>
        <v/>
      </c>
      <c r="AL15" s="11" t="str">
        <f t="shared" si="3"/>
        <v/>
      </c>
      <c r="AM15" s="11" t="e">
        <f>IF(COUNT(D15,G15,J15,M15,P15,S15,V15,Y15,AF15,AI15,AT15,AW15,AZ15,BC15,#REF!)=0,"",ROUND(N(D15)*1440+N(G15)*1440+N(J15)*1440+N(M15)*1440+N(P15)*1440+N(S15)*1440+N(V15)*1440+N(Y15)*1440+N(AF15)+N(AI15)+N(AT15)+N(AW15)+N(AZ15)+N(BC15)+N(#REF!),1))</f>
        <v>#REF!</v>
      </c>
      <c r="AN15" s="15" t="str">
        <f t="shared" si="4"/>
        <v/>
      </c>
      <c r="AO15" s="15"/>
      <c r="AP15" s="16"/>
      <c r="AQ15" s="21"/>
      <c r="AR15" s="18">
        <v>0.37361111111111101</v>
      </c>
      <c r="AS15" s="18">
        <v>0.37847222222222199</v>
      </c>
      <c r="AT15" s="60">
        <f t="shared" si="5"/>
        <v>4.8611111111109828E-3</v>
      </c>
      <c r="AU15" s="32">
        <v>0.56458333333333333</v>
      </c>
      <c r="AV15" s="32">
        <v>0.56527777777777777</v>
      </c>
      <c r="AW15" s="61">
        <f t="shared" si="6"/>
        <v>6.9444444444444198E-4</v>
      </c>
      <c r="BA15" s="18">
        <v>0.54652777777777795</v>
      </c>
      <c r="BB15" s="18">
        <v>0.55486111111111103</v>
      </c>
      <c r="BC15" s="60">
        <f t="shared" ref="BC15:BC34" si="10">BB15-BA15</f>
        <v>8.3333333333330817E-3</v>
      </c>
      <c r="BD15" s="18">
        <v>0.37847222222222199</v>
      </c>
      <c r="BE15" s="18">
        <v>0.38194444444444398</v>
      </c>
      <c r="BF15" s="60">
        <f t="shared" si="7"/>
        <v>3.4722222222219878E-3</v>
      </c>
      <c r="BG15" s="58">
        <v>0.33194444444444443</v>
      </c>
      <c r="BH15" s="58">
        <v>0.33333333333333331</v>
      </c>
      <c r="BI15" s="10">
        <f t="shared" si="8"/>
        <v>1.388888888888884E-3</v>
      </c>
      <c r="BJ15" s="60">
        <f t="shared" si="9"/>
        <v>1.388888888888884E-3</v>
      </c>
    </row>
    <row r="16" spans="1:65" s="17" customFormat="1" x14ac:dyDescent="0.3">
      <c r="A16" s="23">
        <v>13</v>
      </c>
      <c r="B16" s="7"/>
      <c r="C16" s="7">
        <v>13</v>
      </c>
      <c r="D16" s="10">
        <v>1.5162037037037E-3</v>
      </c>
      <c r="E16" s="13" t="s">
        <v>71</v>
      </c>
      <c r="F16" s="7">
        <v>13</v>
      </c>
      <c r="G16" s="10">
        <v>1.5625000000000001E-3</v>
      </c>
      <c r="H16" s="11"/>
      <c r="I16" s="7">
        <v>12</v>
      </c>
      <c r="J16" s="12">
        <v>9.7222222222222219E-4</v>
      </c>
      <c r="K16" s="11"/>
      <c r="L16" s="7">
        <v>12</v>
      </c>
      <c r="M16" s="10">
        <v>1.0590277777777778E-2</v>
      </c>
      <c r="N16" s="11"/>
      <c r="O16" s="7">
        <v>12</v>
      </c>
      <c r="P16" s="10">
        <v>6.2500000000000001E-4</v>
      </c>
      <c r="Q16" s="11" t="s">
        <v>66</v>
      </c>
      <c r="R16" s="7">
        <v>12</v>
      </c>
      <c r="S16" s="10">
        <v>7.1759259259259302E-4</v>
      </c>
      <c r="T16" s="11"/>
      <c r="U16" s="7">
        <v>12</v>
      </c>
      <c r="V16" s="10">
        <v>1.5462962962963E-2</v>
      </c>
      <c r="W16" s="13" t="s">
        <v>70</v>
      </c>
      <c r="X16" s="7">
        <v>12</v>
      </c>
      <c r="Y16" s="14"/>
      <c r="Z16" s="11"/>
      <c r="AA16" s="14"/>
      <c r="AB16" s="14"/>
      <c r="AC16" s="11"/>
      <c r="AD16" s="14"/>
      <c r="AE16" s="14"/>
      <c r="AF16" s="11" t="str">
        <f t="shared" si="0"/>
        <v/>
      </c>
      <c r="AG16" s="14"/>
      <c r="AH16" s="14"/>
      <c r="AI16" s="11" t="str">
        <f t="shared" si="1"/>
        <v/>
      </c>
      <c r="AJ16" s="14"/>
      <c r="AK16" s="11" t="str">
        <f t="shared" si="2"/>
        <v/>
      </c>
      <c r="AL16" s="11" t="str">
        <f t="shared" si="3"/>
        <v/>
      </c>
      <c r="AM16" s="11" t="e">
        <f>IF(COUNT(D16,G16,J16,M16,P16,S16,V16,Y16,AF16,AI16,AT16,AW16,AZ16,BC16,#REF!)=0,"",ROUND(N(D16)*1440+N(G16)*1440+N(J16)*1440+N(M16)*1440+N(P16)*1440+N(S16)*1440+N(V16)*1440+N(Y16)*1440+N(AF16)+N(AI16)+N(AT16)+N(AW16)+N(AZ16)+N(BC16)+N(#REF!),1))</f>
        <v>#REF!</v>
      </c>
      <c r="AN16" s="15" t="str">
        <f t="shared" si="4"/>
        <v/>
      </c>
      <c r="AO16" s="15"/>
      <c r="AP16" s="16"/>
      <c r="AQ16" s="21"/>
      <c r="AR16" s="18">
        <v>0.34583333333333299</v>
      </c>
      <c r="AS16" s="18">
        <v>0.34791666666666698</v>
      </c>
      <c r="AT16" s="60">
        <f t="shared" si="5"/>
        <v>2.0833333333339921E-3</v>
      </c>
      <c r="AU16" s="18">
        <v>0.60069444444444442</v>
      </c>
      <c r="AV16" s="18">
        <v>0.60138888888888886</v>
      </c>
      <c r="AW16" s="60">
        <f t="shared" si="6"/>
        <v>6.9444444444444198E-4</v>
      </c>
      <c r="BA16" s="18">
        <v>0.55763888888888902</v>
      </c>
      <c r="BB16" s="18">
        <v>0.56597222222222199</v>
      </c>
      <c r="BC16" s="60">
        <f t="shared" si="10"/>
        <v>8.3333333333329707E-3</v>
      </c>
      <c r="BD16" s="18">
        <v>0.34791666666666698</v>
      </c>
      <c r="BE16" s="18">
        <v>0.35069444444444398</v>
      </c>
      <c r="BF16" s="60">
        <f t="shared" si="7"/>
        <v>2.7777777777769908E-3</v>
      </c>
      <c r="BG16" s="58">
        <v>0.3347222222222222</v>
      </c>
      <c r="BH16" s="58">
        <v>0.33888888888888891</v>
      </c>
      <c r="BI16" s="10">
        <f t="shared" si="8"/>
        <v>4.1666666666666519E-3</v>
      </c>
      <c r="BJ16" s="60">
        <f t="shared" si="9"/>
        <v>4.1666666666667074E-3</v>
      </c>
    </row>
    <row r="17" spans="1:62" s="17" customFormat="1" x14ac:dyDescent="0.3">
      <c r="A17" s="23">
        <v>14</v>
      </c>
      <c r="B17" s="7"/>
      <c r="C17" s="7">
        <v>14</v>
      </c>
      <c r="D17" s="10">
        <v>5.78703703703704E-4</v>
      </c>
      <c r="E17" s="11"/>
      <c r="F17" s="14"/>
      <c r="G17" s="10">
        <v>9.4907407407407408E-4</v>
      </c>
      <c r="H17" s="11"/>
      <c r="I17" s="7">
        <v>13</v>
      </c>
      <c r="J17" s="12">
        <v>4.8726851851851848E-3</v>
      </c>
      <c r="K17" s="11"/>
      <c r="L17" s="7">
        <v>13</v>
      </c>
      <c r="M17" s="10">
        <v>2.9513888888888888E-3</v>
      </c>
      <c r="N17" s="11"/>
      <c r="O17" s="7">
        <v>13</v>
      </c>
      <c r="P17" s="10">
        <v>1.1458333333333301E-3</v>
      </c>
      <c r="Q17" s="11"/>
      <c r="R17" s="7">
        <v>13</v>
      </c>
      <c r="S17" s="10">
        <v>6.9444444444444501E-4</v>
      </c>
      <c r="T17" s="11"/>
      <c r="U17" s="7">
        <v>13</v>
      </c>
      <c r="V17" s="10">
        <v>1.0462962962963E-2</v>
      </c>
      <c r="W17" s="13" t="s">
        <v>70</v>
      </c>
      <c r="X17" s="7">
        <v>13</v>
      </c>
      <c r="Y17" s="14"/>
      <c r="Z17" s="11"/>
      <c r="AA17" s="14"/>
      <c r="AB17" s="14"/>
      <c r="AC17" s="11"/>
      <c r="AD17" s="14"/>
      <c r="AE17" s="14"/>
      <c r="AF17" s="11" t="str">
        <f t="shared" si="0"/>
        <v/>
      </c>
      <c r="AG17" s="14"/>
      <c r="AH17" s="14"/>
      <c r="AI17" s="11" t="str">
        <f t="shared" si="1"/>
        <v/>
      </c>
      <c r="AJ17" s="14"/>
      <c r="AK17" s="11" t="str">
        <f t="shared" si="2"/>
        <v/>
      </c>
      <c r="AL17" s="11" t="str">
        <f t="shared" si="3"/>
        <v/>
      </c>
      <c r="AM17" s="11" t="e">
        <f>IF(COUNT(D17,G17,J17,M17,P17,S17,V17,Y17,AF17,AI17,AT17,AW17,AZ17,BC17,#REF!)=0,"",ROUND(N(D17)*1440+N(G17)*1440+N(J17)*1440+N(M17)*1440+N(P17)*1440+N(S17)*1440+N(V17)*1440+N(Y17)*1440+N(AF17)+N(AI17)+N(AT17)+N(AW17)+N(AZ17)+N(BC17)+N(#REF!),1))</f>
        <v>#REF!</v>
      </c>
      <c r="AN17" s="15" t="str">
        <f t="shared" si="4"/>
        <v/>
      </c>
      <c r="AO17" s="15"/>
      <c r="AP17" s="16"/>
      <c r="AQ17" s="21"/>
      <c r="AR17" s="18">
        <v>0.344444444444444</v>
      </c>
      <c r="AS17" s="18">
        <v>0.34513888888888899</v>
      </c>
      <c r="AT17" s="60">
        <f t="shared" si="5"/>
        <v>6.9444444444499709E-4</v>
      </c>
      <c r="AU17" s="18">
        <v>0.64583333333333337</v>
      </c>
      <c r="AV17" s="18">
        <v>0.64652777777777781</v>
      </c>
      <c r="AW17" s="60">
        <f t="shared" si="6"/>
        <v>6.9444444444444198E-4</v>
      </c>
      <c r="BA17" s="18">
        <v>0.57013888888888897</v>
      </c>
      <c r="BB17" s="18">
        <v>0.57986111111111105</v>
      </c>
      <c r="BC17" s="60">
        <f t="shared" si="10"/>
        <v>9.7222222222220767E-3</v>
      </c>
      <c r="BD17" s="18">
        <v>0.34513888888888899</v>
      </c>
      <c r="BE17" s="18">
        <v>0.34722222222222199</v>
      </c>
      <c r="BF17" s="60">
        <f t="shared" si="7"/>
        <v>2.0833333333329929E-3</v>
      </c>
      <c r="BG17" s="58">
        <v>0.34305555555555556</v>
      </c>
      <c r="BH17" s="58">
        <v>0.34513888888888888</v>
      </c>
      <c r="BI17" s="10">
        <f t="shared" si="8"/>
        <v>5.5555555555555358E-3</v>
      </c>
      <c r="BJ17" s="60">
        <f t="shared" si="9"/>
        <v>2.0833333333333259E-3</v>
      </c>
    </row>
    <row r="18" spans="1:62" s="17" customFormat="1" x14ac:dyDescent="0.3">
      <c r="A18" s="23">
        <v>15</v>
      </c>
      <c r="B18" s="7"/>
      <c r="C18" s="7">
        <v>15</v>
      </c>
      <c r="D18" s="10">
        <v>5.32407407407407E-4</v>
      </c>
      <c r="E18" s="11"/>
      <c r="F18" s="14"/>
      <c r="G18" s="10">
        <v>1.8402777777777777E-3</v>
      </c>
      <c r="H18" s="11"/>
      <c r="I18" s="7">
        <v>14</v>
      </c>
      <c r="J18" s="12"/>
      <c r="K18" s="11"/>
      <c r="L18" s="7">
        <v>14</v>
      </c>
      <c r="M18" s="10">
        <v>4.2708333333333331E-3</v>
      </c>
      <c r="N18" s="11"/>
      <c r="O18" s="7">
        <v>14</v>
      </c>
      <c r="P18" s="10">
        <v>9.7222222222222198E-4</v>
      </c>
      <c r="Q18" s="11"/>
      <c r="R18" s="7">
        <v>14</v>
      </c>
      <c r="S18" s="10">
        <v>9.1435185185185196E-4</v>
      </c>
      <c r="T18" s="11" t="s">
        <v>66</v>
      </c>
      <c r="U18" s="7">
        <v>14</v>
      </c>
      <c r="V18" s="10">
        <v>9.9537037037037007E-3</v>
      </c>
      <c r="W18" s="13" t="s">
        <v>72</v>
      </c>
      <c r="X18" s="7">
        <v>14</v>
      </c>
      <c r="Y18" s="14"/>
      <c r="Z18" s="11"/>
      <c r="AA18" s="14"/>
      <c r="AB18" s="14"/>
      <c r="AC18" s="11"/>
      <c r="AD18" s="14"/>
      <c r="AE18" s="14"/>
      <c r="AF18" s="11" t="str">
        <f t="shared" si="0"/>
        <v/>
      </c>
      <c r="AG18" s="14"/>
      <c r="AH18" s="14"/>
      <c r="AI18" s="11" t="str">
        <f t="shared" si="1"/>
        <v/>
      </c>
      <c r="AJ18" s="14"/>
      <c r="AK18" s="11" t="str">
        <f t="shared" si="2"/>
        <v/>
      </c>
      <c r="AL18" s="11" t="str">
        <f t="shared" si="3"/>
        <v/>
      </c>
      <c r="AM18" s="11" t="e">
        <f>IF(COUNT(D18,G18,J18,M18,P18,S18,V18,Y18,AF18,AI18,AT18,AW18,AZ18,BC18,#REF!)=0,"",ROUND(N(D18)*1440+N(G18)*1440+N(J18)*1440+N(M18)*1440+N(P18)*1440+N(S18)*1440+N(V18)*1440+N(Y18)*1440+N(AF18)+N(AI18)+N(AT18)+N(AW18)+N(AZ18)+N(BC18)+N(#REF!),1))</f>
        <v>#REF!</v>
      </c>
      <c r="AN18" s="15" t="str">
        <f t="shared" si="4"/>
        <v/>
      </c>
      <c r="AO18" s="15"/>
      <c r="AP18" s="16"/>
      <c r="AQ18" s="21"/>
      <c r="AR18" s="18">
        <v>0.41805555555555601</v>
      </c>
      <c r="AS18" s="18">
        <v>0.421527777777778</v>
      </c>
      <c r="AT18" s="60">
        <f t="shared" si="5"/>
        <v>3.4722222222219878E-3</v>
      </c>
      <c r="AU18" s="18"/>
      <c r="AV18" s="18"/>
      <c r="AW18" s="60"/>
      <c r="BA18" s="18">
        <v>0.58541666666666703</v>
      </c>
      <c r="BB18" s="18">
        <v>0.59097222222222201</v>
      </c>
      <c r="BC18" s="60">
        <f t="shared" si="10"/>
        <v>5.5555555555549807E-3</v>
      </c>
      <c r="BD18" s="18">
        <v>0.41527777777777802</v>
      </c>
      <c r="BE18" s="18">
        <v>0.41666666666666702</v>
      </c>
      <c r="BF18" s="60">
        <f t="shared" si="7"/>
        <v>1.388888888888995E-3</v>
      </c>
      <c r="BG18" s="58">
        <v>0.35069444444444442</v>
      </c>
      <c r="BH18" s="58">
        <v>0.35347222222222224</v>
      </c>
      <c r="BI18" s="10" t="s">
        <v>77</v>
      </c>
      <c r="BJ18" s="60">
        <f t="shared" si="9"/>
        <v>2.7777777777778234E-3</v>
      </c>
    </row>
    <row r="19" spans="1:62" s="17" customFormat="1" x14ac:dyDescent="0.3">
      <c r="A19" s="23">
        <v>16</v>
      </c>
      <c r="B19" s="7"/>
      <c r="C19" s="7">
        <v>16</v>
      </c>
      <c r="D19" s="10">
        <v>5.20833333333333E-4</v>
      </c>
      <c r="E19" s="11"/>
      <c r="F19" s="14"/>
      <c r="G19" s="10">
        <v>3.5185185185185185E-3</v>
      </c>
      <c r="H19" s="11"/>
      <c r="I19" s="7">
        <v>15</v>
      </c>
      <c r="J19" s="12"/>
      <c r="K19" s="11"/>
      <c r="L19" s="7">
        <v>15</v>
      </c>
      <c r="M19" s="10">
        <v>1.9212962962962964E-3</v>
      </c>
      <c r="N19" s="11"/>
      <c r="O19" s="7">
        <v>15</v>
      </c>
      <c r="P19" s="10">
        <v>1.33101851851852E-3</v>
      </c>
      <c r="Q19" s="11"/>
      <c r="R19" s="7">
        <v>15</v>
      </c>
      <c r="S19" s="10">
        <v>6.2500000000000001E-4</v>
      </c>
      <c r="T19" s="11" t="s">
        <v>66</v>
      </c>
      <c r="U19" s="7">
        <v>15</v>
      </c>
      <c r="V19" s="10">
        <v>1.22685185185185E-2</v>
      </c>
      <c r="W19" s="13" t="s">
        <v>72</v>
      </c>
      <c r="X19" s="7">
        <v>15</v>
      </c>
      <c r="Y19" s="14"/>
      <c r="Z19" s="11"/>
      <c r="AA19" s="14"/>
      <c r="AB19" s="14"/>
      <c r="AC19" s="11"/>
      <c r="AD19" s="14"/>
      <c r="AE19" s="14"/>
      <c r="AF19" s="11" t="str">
        <f t="shared" si="0"/>
        <v/>
      </c>
      <c r="AG19" s="14"/>
      <c r="AH19" s="14"/>
      <c r="AI19" s="11" t="str">
        <f t="shared" si="1"/>
        <v/>
      </c>
      <c r="AJ19" s="14"/>
      <c r="AK19" s="11" t="str">
        <f t="shared" si="2"/>
        <v/>
      </c>
      <c r="AL19" s="11" t="str">
        <f t="shared" si="3"/>
        <v/>
      </c>
      <c r="AM19" s="11" t="e">
        <f>IF(COUNT(D19,G19,J19,M19,P19,S19,V19,Y19,AF19,AI19,AT19,AW19,AZ19,BC19,#REF!)=0,"",ROUND(N(D19)*1440+N(G19)*1440+N(J19)*1440+N(M19)*1440+N(P19)*1440+N(S19)*1440+N(V19)*1440+N(Y19)*1440+N(AF19)+N(AI19)+N(AT19)+N(AW19)+N(AZ19)+N(BC19)+N(#REF!),1))</f>
        <v>#REF!</v>
      </c>
      <c r="AN19" s="15" t="str">
        <f t="shared" si="4"/>
        <v/>
      </c>
      <c r="AO19" s="15"/>
      <c r="AP19" s="16"/>
      <c r="AQ19" s="21"/>
      <c r="AR19" s="18">
        <v>0.406944444444444</v>
      </c>
      <c r="AS19" s="18">
        <v>0.40902777777777799</v>
      </c>
      <c r="AT19" s="60">
        <f t="shared" si="5"/>
        <v>2.0833333333339921E-3</v>
      </c>
      <c r="AU19" s="18"/>
      <c r="AV19" s="18"/>
      <c r="AW19" s="60"/>
      <c r="BA19" s="18">
        <v>0.28263888888888899</v>
      </c>
      <c r="BB19" s="18">
        <v>0.29444444444444501</v>
      </c>
      <c r="BC19" s="60">
        <f t="shared" si="10"/>
        <v>1.1805555555556013E-2</v>
      </c>
      <c r="BD19" s="18">
        <v>0.40486111111111101</v>
      </c>
      <c r="BE19" s="18">
        <v>0.406944444444444</v>
      </c>
      <c r="BF19" s="60">
        <f t="shared" si="7"/>
        <v>2.0833333333329929E-3</v>
      </c>
      <c r="BG19" s="58">
        <v>0.3527777777777778</v>
      </c>
      <c r="BH19" s="58">
        <v>0.35486111111111113</v>
      </c>
      <c r="BI19" s="10">
        <f t="shared" si="8"/>
        <v>8.3333333333333037E-3</v>
      </c>
      <c r="BJ19" s="60">
        <f t="shared" si="9"/>
        <v>2.0833333333333259E-3</v>
      </c>
    </row>
    <row r="20" spans="1:62" s="17" customFormat="1" x14ac:dyDescent="0.3">
      <c r="A20" s="23">
        <v>17</v>
      </c>
      <c r="B20" s="7"/>
      <c r="C20" s="7">
        <v>17</v>
      </c>
      <c r="D20" s="10">
        <v>5.6712962962962999E-4</v>
      </c>
      <c r="E20" s="11"/>
      <c r="F20" s="14"/>
      <c r="G20" s="10"/>
      <c r="H20" s="11"/>
      <c r="I20" s="7">
        <v>16</v>
      </c>
      <c r="J20" s="12"/>
      <c r="K20" s="11"/>
      <c r="L20" s="7">
        <v>16</v>
      </c>
      <c r="M20" s="10">
        <v>9.6064814814814815E-3</v>
      </c>
      <c r="N20" s="13" t="s">
        <v>81</v>
      </c>
      <c r="O20" s="7">
        <v>16</v>
      </c>
      <c r="P20" s="10">
        <v>1.1574074074074099E-3</v>
      </c>
      <c r="Q20" s="11"/>
      <c r="R20" s="7">
        <v>16</v>
      </c>
      <c r="S20" s="10">
        <v>8.3333333333333295E-4</v>
      </c>
      <c r="T20" s="11" t="s">
        <v>66</v>
      </c>
      <c r="U20" s="7">
        <v>16</v>
      </c>
      <c r="V20" s="10">
        <v>5.3356481481481501E-3</v>
      </c>
      <c r="W20" s="13" t="s">
        <v>72</v>
      </c>
      <c r="X20" s="7">
        <v>16</v>
      </c>
      <c r="Y20" s="14"/>
      <c r="Z20" s="11"/>
      <c r="AA20" s="14"/>
      <c r="AB20" s="14"/>
      <c r="AC20" s="11"/>
      <c r="AD20" s="14"/>
      <c r="AE20" s="14"/>
      <c r="AF20" s="11" t="str">
        <f t="shared" si="0"/>
        <v/>
      </c>
      <c r="AG20" s="14"/>
      <c r="AH20" s="14"/>
      <c r="AI20" s="11" t="str">
        <f t="shared" si="1"/>
        <v/>
      </c>
      <c r="AJ20" s="14"/>
      <c r="AK20" s="11" t="str">
        <f t="shared" si="2"/>
        <v/>
      </c>
      <c r="AL20" s="11" t="str">
        <f t="shared" si="3"/>
        <v/>
      </c>
      <c r="AM20" s="11" t="e">
        <f>IF(COUNT(D20,G20,J20,M20,P20,S20,V20,Y20,AF20,AI20,AT20,AW20,AZ20,BC20,#REF!)=0,"",ROUND(N(D20)*1440+N(G20)*1440+N(J20)*1440+N(M20)*1440+N(P20)*1440+N(S20)*1440+N(V20)*1440+N(Y20)*1440+N(AF20)+N(AI20)+N(AT20)+N(AW20)+N(AZ20)+N(BC20)+N(#REF!),1))</f>
        <v>#REF!</v>
      </c>
      <c r="AN20" s="15" t="str">
        <f t="shared" si="4"/>
        <v/>
      </c>
      <c r="AO20" s="15"/>
      <c r="AP20" s="16"/>
      <c r="AQ20" s="21"/>
      <c r="AR20" s="18">
        <v>0.39513888888888898</v>
      </c>
      <c r="AS20" s="18">
        <v>0.39722222222222198</v>
      </c>
      <c r="AT20" s="60">
        <f t="shared" si="5"/>
        <v>2.0833333333329929E-3</v>
      </c>
      <c r="AU20" s="18"/>
      <c r="AV20" s="18"/>
      <c r="AW20" s="60"/>
      <c r="BA20" s="18">
        <v>0.30277777777777798</v>
      </c>
      <c r="BB20" s="18">
        <v>0.31527777777777799</v>
      </c>
      <c r="BC20" s="60">
        <f t="shared" si="10"/>
        <v>1.2500000000000011E-2</v>
      </c>
      <c r="BD20" s="18">
        <v>0.35138888888888897</v>
      </c>
      <c r="BE20" s="18">
        <v>0.35347222222222202</v>
      </c>
      <c r="BF20" s="60">
        <f t="shared" si="7"/>
        <v>2.0833333333330484E-3</v>
      </c>
      <c r="BG20" s="58">
        <v>0.36319444444444443</v>
      </c>
      <c r="BH20" s="58">
        <v>0.36458333333333331</v>
      </c>
      <c r="BI20" s="10">
        <f t="shared" si="8"/>
        <v>1.388888888888884E-3</v>
      </c>
      <c r="BJ20" s="60">
        <f t="shared" si="9"/>
        <v>1.388888888888884E-3</v>
      </c>
    </row>
    <row r="21" spans="1:62" s="17" customFormat="1" x14ac:dyDescent="0.3">
      <c r="A21" s="23">
        <v>18</v>
      </c>
      <c r="B21" s="7"/>
      <c r="C21" s="7">
        <v>18</v>
      </c>
      <c r="D21" s="10">
        <v>5.78703703703704E-4</v>
      </c>
      <c r="E21" s="11"/>
      <c r="F21" s="14"/>
      <c r="G21" s="10"/>
      <c r="H21" s="11"/>
      <c r="I21" s="7"/>
      <c r="J21" s="12"/>
      <c r="K21" s="11"/>
      <c r="L21" s="7">
        <v>17</v>
      </c>
      <c r="M21" s="10">
        <v>3.6458333333333334E-3</v>
      </c>
      <c r="N21" s="11"/>
      <c r="O21" s="7">
        <v>17</v>
      </c>
      <c r="P21" s="10">
        <v>1.19212962962963E-3</v>
      </c>
      <c r="Q21" s="11"/>
      <c r="R21" s="7">
        <v>17</v>
      </c>
      <c r="S21" s="10">
        <v>1.30787037037037E-3</v>
      </c>
      <c r="T21" s="11" t="s">
        <v>66</v>
      </c>
      <c r="U21" s="7">
        <v>17</v>
      </c>
      <c r="V21" s="10">
        <v>3.81944444444444E-3</v>
      </c>
      <c r="W21" s="13" t="s">
        <v>72</v>
      </c>
      <c r="X21" s="7">
        <v>17</v>
      </c>
      <c r="Y21" s="14"/>
      <c r="Z21" s="11"/>
      <c r="AA21" s="14"/>
      <c r="AB21" s="14"/>
      <c r="AC21" s="11"/>
      <c r="AD21" s="14"/>
      <c r="AE21" s="14"/>
      <c r="AF21" s="11" t="str">
        <f t="shared" si="0"/>
        <v/>
      </c>
      <c r="AG21" s="14"/>
      <c r="AH21" s="14"/>
      <c r="AI21" s="11" t="str">
        <f t="shared" si="1"/>
        <v/>
      </c>
      <c r="AJ21" s="14"/>
      <c r="AK21" s="11" t="str">
        <f t="shared" si="2"/>
        <v/>
      </c>
      <c r="AL21" s="11" t="str">
        <f t="shared" si="3"/>
        <v/>
      </c>
      <c r="AM21" s="11" t="e">
        <f>IF(COUNT(D21,G21,J21,M21,P21,S21,V21,Y21,AF21,AI21,AT21,AW21,AZ21,BC21,#REF!)=0,"",ROUND(N(D21)*1440+N(G21)*1440+N(J21)*1440+N(M21)*1440+N(P21)*1440+N(S21)*1440+N(V21)*1440+N(Y21)*1440+N(AF21)+N(AI21)+N(AT21)+N(AW21)+N(AZ21)+N(BC21)+N(#REF!),1))</f>
        <v>#REF!</v>
      </c>
      <c r="AN21" s="15" t="str">
        <f t="shared" si="4"/>
        <v/>
      </c>
      <c r="AO21" s="15"/>
      <c r="AP21" s="16"/>
      <c r="AQ21" s="21"/>
      <c r="AR21" s="18">
        <v>0.57569444444444395</v>
      </c>
      <c r="AS21" s="18">
        <v>0.58194444444444504</v>
      </c>
      <c r="AT21" s="60">
        <f t="shared" si="5"/>
        <v>6.250000000001088E-3</v>
      </c>
      <c r="AU21" s="18"/>
      <c r="AV21" s="18"/>
      <c r="AW21" s="60"/>
      <c r="BA21" s="18">
        <v>0.33611111111111103</v>
      </c>
      <c r="BB21" s="18">
        <v>0.35</v>
      </c>
      <c r="BC21" s="60">
        <f t="shared" si="10"/>
        <v>1.3888888888888951E-2</v>
      </c>
      <c r="BD21" s="18">
        <v>0.35763888888888901</v>
      </c>
      <c r="BE21" s="18">
        <v>0.359722222222222</v>
      </c>
      <c r="BF21" s="60">
        <f t="shared" si="7"/>
        <v>2.0833333333329929E-3</v>
      </c>
      <c r="BG21" s="58">
        <v>0.3659722222222222</v>
      </c>
      <c r="BH21" s="58">
        <v>0.37013888888888891</v>
      </c>
      <c r="BI21" s="10">
        <f t="shared" si="8"/>
        <v>2.0833333333333259E-3</v>
      </c>
      <c r="BJ21" s="60">
        <f t="shared" si="9"/>
        <v>4.1666666666667074E-3</v>
      </c>
    </row>
    <row r="22" spans="1:62" s="17" customFormat="1" x14ac:dyDescent="0.3">
      <c r="A22" s="23">
        <v>19</v>
      </c>
      <c r="B22" s="7"/>
      <c r="C22" s="7">
        <v>19</v>
      </c>
      <c r="D22" s="10">
        <v>3.4722222222222202E-4</v>
      </c>
      <c r="E22" s="11"/>
      <c r="F22" s="14"/>
      <c r="G22" s="10"/>
      <c r="H22" s="11"/>
      <c r="I22" s="7"/>
      <c r="J22" s="12"/>
      <c r="K22" s="11"/>
      <c r="L22" s="7">
        <v>18</v>
      </c>
      <c r="M22" s="10"/>
      <c r="N22" s="11"/>
      <c r="O22" s="7">
        <v>18</v>
      </c>
      <c r="P22" s="10">
        <v>8.5648148148148205E-4</v>
      </c>
      <c r="Q22" s="11"/>
      <c r="R22" s="7">
        <v>18</v>
      </c>
      <c r="S22" s="10">
        <v>9.7222222222222198E-4</v>
      </c>
      <c r="T22" s="11" t="s">
        <v>66</v>
      </c>
      <c r="U22" s="7">
        <v>18</v>
      </c>
      <c r="V22" s="10">
        <v>5.2314814814814802E-3</v>
      </c>
      <c r="W22" s="13" t="s">
        <v>72</v>
      </c>
      <c r="X22" s="7">
        <v>18</v>
      </c>
      <c r="Y22" s="14"/>
      <c r="Z22" s="11"/>
      <c r="AA22" s="14"/>
      <c r="AB22" s="14"/>
      <c r="AC22" s="11"/>
      <c r="AD22" s="14"/>
      <c r="AE22" s="14"/>
      <c r="AF22" s="11" t="str">
        <f t="shared" si="0"/>
        <v/>
      </c>
      <c r="AG22" s="14"/>
      <c r="AH22" s="14"/>
      <c r="AI22" s="11" t="str">
        <f t="shared" si="1"/>
        <v/>
      </c>
      <c r="AJ22" s="14"/>
      <c r="AK22" s="11" t="str">
        <f t="shared" si="2"/>
        <v/>
      </c>
      <c r="AL22" s="11" t="str">
        <f t="shared" si="3"/>
        <v/>
      </c>
      <c r="AM22" s="11" t="e">
        <f>IF(COUNT(D22,G22,J22,M22,P22,S22,V22,Y22,AF22,AI22,AT22,AW22,AZ22,BC22,#REF!)=0,"",ROUND(N(D22)*1440+N(G22)*1440+N(J22)*1440+N(M22)*1440+N(P22)*1440+N(S22)*1440+N(V22)*1440+N(Y22)*1440+N(AF22)+N(AI22)+N(AT22)+N(AW22)+N(AZ22)+N(BC22)+N(#REF!),1))</f>
        <v>#REF!</v>
      </c>
      <c r="AN22" s="15" t="str">
        <f t="shared" si="4"/>
        <v/>
      </c>
      <c r="AO22" s="15"/>
      <c r="AP22" s="16"/>
      <c r="AQ22" s="21"/>
      <c r="AR22" s="18">
        <v>0.59930555555555598</v>
      </c>
      <c r="AS22" s="18">
        <v>0.60347222222222197</v>
      </c>
      <c r="AT22" s="60">
        <f>AS22-AR22</f>
        <v>4.1666666666659857E-3</v>
      </c>
      <c r="AU22" s="18"/>
      <c r="AV22" s="18"/>
      <c r="AW22" s="60"/>
      <c r="BA22" s="18">
        <v>0.32152777777777802</v>
      </c>
      <c r="BB22" s="18">
        <v>0.33194444444444399</v>
      </c>
      <c r="BC22" s="60">
        <f t="shared" si="10"/>
        <v>1.0416666666665964E-2</v>
      </c>
      <c r="BD22" s="18">
        <v>0.58263888888888904</v>
      </c>
      <c r="BE22" s="18">
        <v>0.58472222222222203</v>
      </c>
      <c r="BF22" s="60">
        <f t="shared" si="7"/>
        <v>2.0833333333329929E-3</v>
      </c>
      <c r="BG22" s="58">
        <v>0.37222222222222223</v>
      </c>
      <c r="BH22" s="58">
        <v>0.37430555555555556</v>
      </c>
      <c r="BI22" s="10">
        <f t="shared" si="8"/>
        <v>0.16736111111111107</v>
      </c>
      <c r="BJ22" s="60">
        <f t="shared" si="9"/>
        <v>2.0833333333333259E-3</v>
      </c>
    </row>
    <row r="23" spans="1:62" s="17" customFormat="1" x14ac:dyDescent="0.3">
      <c r="A23" s="23">
        <v>20</v>
      </c>
      <c r="B23" s="7"/>
      <c r="C23" s="7">
        <v>20</v>
      </c>
      <c r="D23" s="10">
        <v>4.5138888888888898E-4</v>
      </c>
      <c r="E23" s="11"/>
      <c r="F23" s="14"/>
      <c r="G23" s="10"/>
      <c r="H23" s="11"/>
      <c r="I23" s="7"/>
      <c r="J23" s="12"/>
      <c r="K23" s="11"/>
      <c r="L23" s="7">
        <v>19</v>
      </c>
      <c r="M23" s="10"/>
      <c r="N23" s="11"/>
      <c r="O23" s="7">
        <v>19</v>
      </c>
      <c r="P23" s="10">
        <v>1.9675925925925898E-3</v>
      </c>
      <c r="Q23" s="11" t="s">
        <v>66</v>
      </c>
      <c r="R23" s="7">
        <v>19</v>
      </c>
      <c r="S23" s="10">
        <v>5.5555555555555599E-4</v>
      </c>
      <c r="T23" s="11" t="s">
        <v>66</v>
      </c>
      <c r="U23" s="7">
        <v>19</v>
      </c>
      <c r="V23" s="10">
        <v>3.15972222222222E-3</v>
      </c>
      <c r="W23" s="13" t="s">
        <v>73</v>
      </c>
      <c r="X23" s="7">
        <v>19</v>
      </c>
      <c r="Y23" s="14"/>
      <c r="Z23" s="11"/>
      <c r="AA23" s="14"/>
      <c r="AB23" s="14"/>
      <c r="AC23" s="11"/>
      <c r="AD23" s="14"/>
      <c r="AE23" s="14"/>
      <c r="AF23" s="11" t="str">
        <f t="shared" si="0"/>
        <v/>
      </c>
      <c r="AG23" s="14"/>
      <c r="AH23" s="14"/>
      <c r="AI23" s="11" t="str">
        <f t="shared" si="1"/>
        <v/>
      </c>
      <c r="AJ23" s="14"/>
      <c r="AK23" s="11" t="str">
        <f t="shared" si="2"/>
        <v/>
      </c>
      <c r="AL23" s="11" t="str">
        <f t="shared" si="3"/>
        <v/>
      </c>
      <c r="AM23" s="11" t="e">
        <f>IF(COUNT(D23,G23,J23,M23,P23,S23,V23,Y23,AF23,AI23,AT23,AW23,AZ23,BC23,#REF!)=0,"",ROUND(N(D23)*1440+N(G23)*1440+N(J23)*1440+N(M23)*1440+N(P23)*1440+N(S23)*1440+N(V23)*1440+N(Y23)*1440+N(AF23)+N(AI23)+N(AT23)+N(AW23)+N(AZ23)+N(BC23)+N(#REF!),1))</f>
        <v>#REF!</v>
      </c>
      <c r="AN23" s="15" t="str">
        <f t="shared" si="4"/>
        <v/>
      </c>
      <c r="AO23" s="15"/>
      <c r="AP23" s="16"/>
      <c r="AQ23" s="21"/>
      <c r="AR23" s="18">
        <v>0.60416666666666696</v>
      </c>
      <c r="AS23" s="18">
        <v>0.61319444444444504</v>
      </c>
      <c r="AT23" s="60">
        <f t="shared" ref="AT23:AT31" si="11">AS23-AR23</f>
        <v>9.0277777777780788E-3</v>
      </c>
      <c r="AU23" s="18"/>
      <c r="AV23" s="18"/>
      <c r="AW23" s="60"/>
      <c r="BA23" s="18">
        <v>0.406944444444444</v>
      </c>
      <c r="BB23" s="18">
        <v>0.41388888888888897</v>
      </c>
      <c r="BC23" s="60">
        <f t="shared" si="10"/>
        <v>6.9444444444449749E-3</v>
      </c>
      <c r="BD23" s="18">
        <v>0.59375</v>
      </c>
      <c r="BE23" s="18">
        <v>0.59513888888888899</v>
      </c>
      <c r="BF23" s="60">
        <f t="shared" si="7"/>
        <v>1.388888888888995E-3</v>
      </c>
      <c r="BG23" s="58">
        <v>0.54166666666666663</v>
      </c>
      <c r="BH23" s="58">
        <v>0.54236111111111107</v>
      </c>
      <c r="BI23" s="10">
        <f t="shared" si="8"/>
        <v>1.388888888888884E-3</v>
      </c>
      <c r="BJ23" s="60">
        <f t="shared" si="9"/>
        <v>6.9444444444444198E-4</v>
      </c>
    </row>
    <row r="24" spans="1:62" s="17" customFormat="1" x14ac:dyDescent="0.3">
      <c r="A24" s="23">
        <v>22</v>
      </c>
      <c r="B24" s="7"/>
      <c r="C24" s="7">
        <v>22</v>
      </c>
      <c r="D24" s="10">
        <v>1.0995370370370399E-3</v>
      </c>
      <c r="E24" s="11"/>
      <c r="F24" s="14"/>
      <c r="G24" s="10"/>
      <c r="H24" s="11"/>
      <c r="I24" s="7"/>
      <c r="J24" s="12"/>
      <c r="K24" s="11"/>
      <c r="L24" s="7">
        <v>20</v>
      </c>
      <c r="M24" s="10"/>
      <c r="N24" s="11"/>
      <c r="O24" s="7">
        <v>20</v>
      </c>
      <c r="P24" s="10">
        <v>1.11111111111111E-3</v>
      </c>
      <c r="Q24" s="11" t="s">
        <v>66</v>
      </c>
      <c r="R24" s="7">
        <v>20</v>
      </c>
      <c r="S24" s="10">
        <v>4.6296296296296298E-4</v>
      </c>
      <c r="T24" s="11" t="s">
        <v>66</v>
      </c>
      <c r="U24" s="7">
        <v>20</v>
      </c>
      <c r="V24" s="10">
        <v>6.7824074074074097E-3</v>
      </c>
      <c r="W24" s="13" t="s">
        <v>73</v>
      </c>
      <c r="X24" s="7">
        <v>20</v>
      </c>
      <c r="Y24" s="14"/>
      <c r="Z24" s="11"/>
      <c r="AA24" s="14"/>
      <c r="AB24" s="14"/>
      <c r="AC24" s="11"/>
      <c r="AD24" s="14"/>
      <c r="AE24" s="14"/>
      <c r="AF24" s="11" t="str">
        <f t="shared" si="0"/>
        <v/>
      </c>
      <c r="AG24" s="14"/>
      <c r="AH24" s="14"/>
      <c r="AI24" s="11" t="str">
        <f t="shared" si="1"/>
        <v/>
      </c>
      <c r="AJ24" s="14"/>
      <c r="AK24" s="11" t="str">
        <f t="shared" si="2"/>
        <v/>
      </c>
      <c r="AL24" s="11" t="str">
        <f t="shared" si="3"/>
        <v/>
      </c>
      <c r="AM24" s="11" t="e">
        <f>IF(COUNT(D24,G24,J24,M24,P24,S24,V24,Y24,AF24,AI24,AT24,AW24,AZ24,BC24,#REF!)=0,"",ROUND(N(D24)*1440+N(G24)*1440+N(J24)*1440+N(M24)*1440+N(P24)*1440+N(S24)*1440+N(V24)*1440+N(Y24)*1440+N(AF24)+N(AI24)+N(AT24)+N(AW24)+N(AZ24)+N(BC24)+N(#REF!),1))</f>
        <v>#REF!</v>
      </c>
      <c r="AN24" s="15" t="str">
        <f t="shared" si="4"/>
        <v/>
      </c>
      <c r="AO24" s="15"/>
      <c r="AP24" s="16"/>
      <c r="AQ24" s="21"/>
      <c r="AR24" s="18">
        <v>0.61875000000000002</v>
      </c>
      <c r="AS24" s="18">
        <v>0.62361111111111101</v>
      </c>
      <c r="AT24" s="60">
        <f t="shared" si="11"/>
        <v>4.8611111111109828E-3</v>
      </c>
      <c r="AW24" s="60"/>
      <c r="BA24" s="18">
        <v>0.35486111111111102</v>
      </c>
      <c r="BB24" s="18">
        <v>0.36249999999999999</v>
      </c>
      <c r="BC24" s="60">
        <f t="shared" si="10"/>
        <v>7.6388888888889728E-3</v>
      </c>
      <c r="BD24" s="18">
        <v>0.56874999999999998</v>
      </c>
      <c r="BE24" s="18">
        <v>0.57013888888888897</v>
      </c>
      <c r="BF24" s="60">
        <f t="shared" si="7"/>
        <v>1.388888888888995E-3</v>
      </c>
      <c r="BG24" s="58">
        <v>0.54374999999999996</v>
      </c>
      <c r="BH24" s="58">
        <v>0.54722222222222228</v>
      </c>
      <c r="BI24" s="10">
        <f t="shared" si="8"/>
        <v>6.9444444444444198E-4</v>
      </c>
      <c r="BJ24" s="60">
        <f t="shared" si="9"/>
        <v>3.4722222222223209E-3</v>
      </c>
    </row>
    <row r="25" spans="1:62" s="17" customFormat="1" x14ac:dyDescent="0.3">
      <c r="A25" s="23">
        <v>23</v>
      </c>
      <c r="B25" s="7"/>
      <c r="C25" s="7">
        <v>23</v>
      </c>
      <c r="D25" s="10">
        <v>7.4074074074074103E-4</v>
      </c>
      <c r="E25" s="11"/>
      <c r="F25" s="14"/>
      <c r="G25" s="10"/>
      <c r="H25" s="11"/>
      <c r="I25" s="7"/>
      <c r="J25" s="12"/>
      <c r="K25" s="11"/>
      <c r="L25" s="7">
        <v>21</v>
      </c>
      <c r="M25" s="10"/>
      <c r="N25" s="11"/>
      <c r="O25" s="7">
        <v>21</v>
      </c>
      <c r="P25" s="10">
        <v>1.27314814814815E-3</v>
      </c>
      <c r="Q25" s="11" t="s">
        <v>66</v>
      </c>
      <c r="R25" s="7">
        <v>21</v>
      </c>
      <c r="S25" s="10">
        <v>6.9444444444444501E-4</v>
      </c>
      <c r="T25" s="11"/>
      <c r="U25" s="7">
        <v>21</v>
      </c>
      <c r="V25" s="10">
        <v>5.6828703703703702E-3</v>
      </c>
      <c r="W25" s="13"/>
      <c r="X25" s="7">
        <v>21</v>
      </c>
      <c r="Y25" s="14"/>
      <c r="Z25" s="11"/>
      <c r="AA25" s="14"/>
      <c r="AB25" s="14"/>
      <c r="AC25" s="11"/>
      <c r="AD25" s="14"/>
      <c r="AE25" s="14"/>
      <c r="AF25" s="11" t="str">
        <f t="shared" si="0"/>
        <v/>
      </c>
      <c r="AG25" s="14"/>
      <c r="AH25" s="14"/>
      <c r="AI25" s="11" t="str">
        <f t="shared" si="1"/>
        <v/>
      </c>
      <c r="AJ25" s="14"/>
      <c r="AK25" s="11" t="str">
        <f t="shared" si="2"/>
        <v/>
      </c>
      <c r="AL25" s="11" t="str">
        <f t="shared" si="3"/>
        <v/>
      </c>
      <c r="AM25" s="11" t="e">
        <f>IF(COUNT(D25,G25,J25,M25,P25,S25,V25,Y25,AF25,AI25,AT25,AW25,AZ25,BC25,#REF!)=0,"",ROUND(N(D25)*1440+N(G25)*1440+N(J25)*1440+N(M25)*1440+N(P25)*1440+N(S25)*1440+N(V25)*1440+N(Y25)*1440+N(AF25)+N(AI25)+N(AT25)+N(AW25)+N(AZ25)+N(BC25)+N(#REF!),1))</f>
        <v>#REF!</v>
      </c>
      <c r="AN25" s="15" t="str">
        <f t="shared" si="4"/>
        <v/>
      </c>
      <c r="AO25" s="15"/>
      <c r="AP25" s="16"/>
      <c r="AQ25" s="21"/>
      <c r="AR25" s="18">
        <v>0.66666666666666696</v>
      </c>
      <c r="AS25" s="18">
        <v>0.67430555555555605</v>
      </c>
      <c r="AT25" s="60">
        <f t="shared" si="11"/>
        <v>7.6388888888890838E-3</v>
      </c>
      <c r="AW25" s="60"/>
      <c r="BA25" s="18">
        <v>0.31458333333333299</v>
      </c>
      <c r="BB25" s="18">
        <v>0.32569444444444501</v>
      </c>
      <c r="BC25" s="60">
        <f t="shared" si="10"/>
        <v>1.1111111111112015E-2</v>
      </c>
      <c r="BD25" s="18">
        <v>0.60416666666666696</v>
      </c>
      <c r="BE25" s="18">
        <v>0.60555555555555596</v>
      </c>
      <c r="BF25" s="60">
        <f t="shared" si="7"/>
        <v>1.388888888888995E-3</v>
      </c>
      <c r="BG25" s="58">
        <v>0.54791666666666672</v>
      </c>
      <c r="BH25" s="58">
        <v>0.55208333333333337</v>
      </c>
      <c r="BI25" s="10">
        <f t="shared" si="8"/>
        <v>6.9444444444444198E-4</v>
      </c>
      <c r="BJ25" s="60">
        <f t="shared" si="9"/>
        <v>4.1666666666666519E-3</v>
      </c>
    </row>
    <row r="26" spans="1:62" s="17" customFormat="1" x14ac:dyDescent="0.3">
      <c r="A26" s="23">
        <v>24</v>
      </c>
      <c r="B26" s="7"/>
      <c r="C26" s="7">
        <v>24</v>
      </c>
      <c r="D26" s="10">
        <v>7.4074074074074103E-4</v>
      </c>
      <c r="E26" s="11"/>
      <c r="F26" s="14"/>
      <c r="G26" s="10"/>
      <c r="H26" s="11"/>
      <c r="I26" s="7"/>
      <c r="J26" s="12"/>
      <c r="K26" s="11"/>
      <c r="L26" s="7">
        <v>22</v>
      </c>
      <c r="M26" s="10"/>
      <c r="N26" s="11"/>
      <c r="O26" s="7">
        <v>22</v>
      </c>
      <c r="P26" s="10">
        <v>9.6064814814814797E-4</v>
      </c>
      <c r="Q26" s="11" t="s">
        <v>66</v>
      </c>
      <c r="R26" s="7">
        <v>22</v>
      </c>
      <c r="S26" s="10">
        <v>8.9120370370370395E-4</v>
      </c>
      <c r="T26" s="11" t="s">
        <v>66</v>
      </c>
      <c r="U26" s="7">
        <v>22</v>
      </c>
      <c r="V26" s="10">
        <v>7.3495370370370398E-3</v>
      </c>
      <c r="W26" s="13"/>
      <c r="X26" s="7">
        <v>22</v>
      </c>
      <c r="Y26" s="14"/>
      <c r="Z26" s="11"/>
      <c r="AA26" s="14"/>
      <c r="AB26" s="14"/>
      <c r="AC26" s="11"/>
      <c r="AD26" s="14"/>
      <c r="AE26" s="14"/>
      <c r="AF26" s="11" t="str">
        <f t="shared" si="0"/>
        <v/>
      </c>
      <c r="AG26" s="14"/>
      <c r="AH26" s="14"/>
      <c r="AI26" s="11" t="str">
        <f t="shared" si="1"/>
        <v/>
      </c>
      <c r="AJ26" s="14"/>
      <c r="AK26" s="11" t="str">
        <f t="shared" si="2"/>
        <v/>
      </c>
      <c r="AL26" s="11" t="str">
        <f t="shared" si="3"/>
        <v/>
      </c>
      <c r="AM26" s="11" t="e">
        <f>IF(COUNT(D26,G26,J26,M26,P26,S26,V26,Y26,AF26,AI26,AT26,AW26,AZ26,BC26,#REF!)=0,"",ROUND(N(D26)*1440+N(G26)*1440+N(J26)*1440+N(M26)*1440+N(P26)*1440+N(S26)*1440+N(V26)*1440+N(Y26)*1440+N(AF26)+N(AI26)+N(AT26)+N(AW26)+N(AZ26)+N(BC26)+N(#REF!),1))</f>
        <v>#REF!</v>
      </c>
      <c r="AN26" s="15" t="str">
        <f t="shared" si="4"/>
        <v/>
      </c>
      <c r="AO26" s="15"/>
      <c r="AP26" s="16"/>
      <c r="AQ26" s="21"/>
      <c r="AR26" s="32">
        <v>0.56527777777777777</v>
      </c>
      <c r="AS26" s="32">
        <v>0.56736111111111109</v>
      </c>
      <c r="AT26" s="61">
        <f t="shared" si="11"/>
        <v>2.0833333333333259E-3</v>
      </c>
      <c r="AW26" s="60"/>
      <c r="BA26" s="18">
        <v>0.55347222222222203</v>
      </c>
      <c r="BB26" s="18">
        <v>0.56527777777777799</v>
      </c>
      <c r="BC26" s="60">
        <f t="shared" si="10"/>
        <v>1.1805555555555958E-2</v>
      </c>
      <c r="BD26" s="18">
        <v>0.60208333333333297</v>
      </c>
      <c r="BE26" s="18">
        <v>0.60347222222222197</v>
      </c>
      <c r="BF26" s="60">
        <f t="shared" si="7"/>
        <v>1.388888888888995E-3</v>
      </c>
      <c r="BG26" s="58">
        <v>0.55277777777777781</v>
      </c>
      <c r="BH26" s="58">
        <v>0.55347222222222225</v>
      </c>
      <c r="BI26" s="10">
        <f t="shared" si="8"/>
        <v>1.6666666666666607E-2</v>
      </c>
      <c r="BJ26" s="60">
        <f t="shared" si="9"/>
        <v>6.9444444444444198E-4</v>
      </c>
    </row>
    <row r="27" spans="1:62" s="17" customFormat="1" x14ac:dyDescent="0.3">
      <c r="A27" s="23">
        <v>25</v>
      </c>
      <c r="B27" s="7"/>
      <c r="C27" s="7">
        <v>25</v>
      </c>
      <c r="D27" s="10">
        <v>6.9444444444444501E-4</v>
      </c>
      <c r="E27" s="11"/>
      <c r="F27" s="14"/>
      <c r="G27" s="10"/>
      <c r="H27" s="11"/>
      <c r="I27" s="7"/>
      <c r="J27" s="14"/>
      <c r="K27" s="11"/>
      <c r="L27" s="7">
        <v>23</v>
      </c>
      <c r="M27" s="10"/>
      <c r="N27" s="11"/>
      <c r="O27" s="7">
        <v>23</v>
      </c>
      <c r="P27" s="10">
        <v>7.1759259259259302E-4</v>
      </c>
      <c r="Q27" s="11" t="s">
        <v>66</v>
      </c>
      <c r="R27" s="7">
        <v>23</v>
      </c>
      <c r="S27" s="10">
        <v>1.2384259259259299E-3</v>
      </c>
      <c r="T27" s="11"/>
      <c r="U27" s="7">
        <v>23</v>
      </c>
      <c r="V27" s="10">
        <v>7.8009259259259299E-3</v>
      </c>
      <c r="W27" s="13"/>
      <c r="X27" s="7">
        <v>23</v>
      </c>
      <c r="Y27" s="14"/>
      <c r="Z27" s="11"/>
      <c r="AA27" s="14"/>
      <c r="AB27" s="14"/>
      <c r="AC27" s="11"/>
      <c r="AD27" s="14"/>
      <c r="AE27" s="14"/>
      <c r="AF27" s="11" t="str">
        <f t="shared" si="0"/>
        <v/>
      </c>
      <c r="AG27" s="14"/>
      <c r="AH27" s="14"/>
      <c r="AI27" s="11" t="str">
        <f t="shared" si="1"/>
        <v/>
      </c>
      <c r="AJ27" s="14"/>
      <c r="AK27" s="11" t="str">
        <f t="shared" si="2"/>
        <v/>
      </c>
      <c r="AL27" s="11" t="str">
        <f t="shared" si="3"/>
        <v/>
      </c>
      <c r="AM27" s="11" t="e">
        <f>IF(COUNT(D27,G27,J27,M27,P27,S27,V27,Y27,AF27,AI27,AT27,AW27,AZ27,BC27,#REF!)=0,"",ROUND(N(D27)*1440+N(G27)*1440+N(J27)*1440+N(M27)*1440+N(P27)*1440+N(S27)*1440+N(V27)*1440+N(Y27)*1440+N(AF27)+N(AI27)+N(AT27)+N(AW27)+N(AZ27)+N(BC27)+N(#REF!),1))</f>
        <v>#REF!</v>
      </c>
      <c r="AN27" s="15" t="str">
        <f t="shared" si="4"/>
        <v/>
      </c>
      <c r="AO27" s="15"/>
      <c r="AP27" s="16"/>
      <c r="AQ27" s="21"/>
      <c r="AR27" s="18">
        <v>0.59722222222222221</v>
      </c>
      <c r="AS27" s="18">
        <v>0.59930555555555554</v>
      </c>
      <c r="AT27" s="60">
        <f t="shared" si="11"/>
        <v>2.0833333333333259E-3</v>
      </c>
      <c r="AW27" s="60"/>
      <c r="BA27" s="18">
        <v>0.56874999999999998</v>
      </c>
      <c r="BB27" s="18">
        <v>0.57708333333333295</v>
      </c>
      <c r="BC27" s="60">
        <f t="shared" si="10"/>
        <v>8.3333333333329707E-3</v>
      </c>
      <c r="BD27" s="18">
        <v>0.625</v>
      </c>
      <c r="BE27" s="18">
        <v>0.62638888888888899</v>
      </c>
      <c r="BF27" s="60">
        <f t="shared" si="7"/>
        <v>1.388888888888995E-3</v>
      </c>
      <c r="BG27" s="58">
        <v>0.57013888888888886</v>
      </c>
      <c r="BH27" s="58">
        <v>0.57777777777777772</v>
      </c>
      <c r="BI27" s="10">
        <f t="shared" si="8"/>
        <v>6.94444444444553E-4</v>
      </c>
      <c r="BJ27" s="60">
        <f t="shared" si="9"/>
        <v>7.6388888888888618E-3</v>
      </c>
    </row>
    <row r="28" spans="1:62" s="17" customFormat="1" x14ac:dyDescent="0.3">
      <c r="A28" s="23">
        <v>26</v>
      </c>
      <c r="B28" s="7"/>
      <c r="C28" s="7">
        <v>26</v>
      </c>
      <c r="D28" s="10">
        <v>6.1342592592592601E-4</v>
      </c>
      <c r="E28" s="11"/>
      <c r="F28" s="14"/>
      <c r="G28" s="10"/>
      <c r="H28" s="11"/>
      <c r="I28" s="7"/>
      <c r="J28" s="14"/>
      <c r="K28" s="11"/>
      <c r="L28" s="7">
        <v>24</v>
      </c>
      <c r="M28" s="10"/>
      <c r="N28" s="11"/>
      <c r="O28" s="7">
        <v>24</v>
      </c>
      <c r="P28" s="10">
        <v>9.7222222222222198E-4</v>
      </c>
      <c r="Q28" s="11"/>
      <c r="R28" s="7">
        <v>24</v>
      </c>
      <c r="S28" s="10">
        <v>5.9027777777777778E-4</v>
      </c>
      <c r="T28" s="11"/>
      <c r="U28" s="7">
        <v>24</v>
      </c>
      <c r="V28" s="10">
        <v>7.4074074074074103E-3</v>
      </c>
      <c r="W28" s="11"/>
      <c r="X28" s="7">
        <v>24</v>
      </c>
      <c r="Y28" s="14"/>
      <c r="Z28" s="11"/>
      <c r="AA28" s="14"/>
      <c r="AB28" s="14"/>
      <c r="AC28" s="11"/>
      <c r="AD28" s="14"/>
      <c r="AE28" s="14"/>
      <c r="AF28" s="11" t="str">
        <f t="shared" si="0"/>
        <v/>
      </c>
      <c r="AG28" s="14"/>
      <c r="AH28" s="14"/>
      <c r="AI28" s="11" t="str">
        <f t="shared" si="1"/>
        <v/>
      </c>
      <c r="AJ28" s="14"/>
      <c r="AK28" s="11" t="str">
        <f t="shared" si="2"/>
        <v/>
      </c>
      <c r="AL28" s="11" t="str">
        <f t="shared" si="3"/>
        <v/>
      </c>
      <c r="AM28" s="11" t="e">
        <f>IF(COUNT(D28,G28,J28,M28,P28,S28,V28,Y28,AF28,AI28,AT28,AW28,AZ28,BC28,#REF!)=0,"",ROUND(N(D28)*1440+N(G28)*1440+N(J28)*1440+N(M28)*1440+N(P28)*1440+N(S28)*1440+N(V28)*1440+N(Y28)*1440+N(AF28)+N(AI28)+N(AT28)+N(AW28)+N(AZ28)+N(BC28)+N(#REF!),1))</f>
        <v>#REF!</v>
      </c>
      <c r="AN28" s="15" t="str">
        <f t="shared" si="4"/>
        <v/>
      </c>
      <c r="AO28" s="15"/>
      <c r="AP28" s="16"/>
      <c r="AQ28" s="21"/>
      <c r="AR28" s="18">
        <v>0.59513888888888888</v>
      </c>
      <c r="AS28" s="18">
        <v>0.59583333333333333</v>
      </c>
      <c r="AT28" s="60">
        <f t="shared" si="11"/>
        <v>6.9444444444444198E-4</v>
      </c>
      <c r="AW28" s="60"/>
      <c r="BA28" s="18">
        <v>0.54305555555555596</v>
      </c>
      <c r="BB28" s="18">
        <v>0.55069444444444504</v>
      </c>
      <c r="BC28" s="60">
        <f t="shared" si="10"/>
        <v>7.6388888888890838E-3</v>
      </c>
      <c r="BD28" s="18">
        <v>0.63888888888888895</v>
      </c>
      <c r="BE28" s="18">
        <v>0.64166666666666705</v>
      </c>
      <c r="BF28" s="60">
        <f t="shared" si="7"/>
        <v>2.777777777778101E-3</v>
      </c>
      <c r="BG28" s="58">
        <v>0.57847222222222228</v>
      </c>
      <c r="BH28" s="58">
        <v>0.58333333333333337</v>
      </c>
      <c r="BI28" s="10">
        <f t="shared" si="8"/>
        <v>1.7361111111111049E-2</v>
      </c>
      <c r="BJ28" s="60">
        <f t="shared" si="9"/>
        <v>4.8611111111110938E-3</v>
      </c>
    </row>
    <row r="29" spans="1:62" s="17" customFormat="1" x14ac:dyDescent="0.3">
      <c r="A29" s="23">
        <v>27</v>
      </c>
      <c r="B29" s="7"/>
      <c r="C29" s="7">
        <v>27</v>
      </c>
      <c r="D29" s="10">
        <v>9.2592592592592596E-4</v>
      </c>
      <c r="E29" s="11"/>
      <c r="F29" s="14"/>
      <c r="G29" s="14"/>
      <c r="H29" s="11"/>
      <c r="I29" s="7"/>
      <c r="J29" s="14"/>
      <c r="K29" s="11"/>
      <c r="L29" s="7">
        <v>25</v>
      </c>
      <c r="M29" s="10"/>
      <c r="N29" s="11"/>
      <c r="O29" s="7">
        <v>25</v>
      </c>
      <c r="P29" s="10">
        <v>1.1574074074074099E-3</v>
      </c>
      <c r="Q29" s="11" t="s">
        <v>66</v>
      </c>
      <c r="R29" s="7">
        <v>25</v>
      </c>
      <c r="S29" s="10">
        <v>6.3657407407407413E-4</v>
      </c>
      <c r="T29" s="11"/>
      <c r="U29" s="7">
        <v>25</v>
      </c>
      <c r="V29" s="10">
        <v>1.14583333333333E-2</v>
      </c>
      <c r="W29" s="11"/>
      <c r="X29" s="7">
        <v>25</v>
      </c>
      <c r="Y29" s="14"/>
      <c r="Z29" s="11"/>
      <c r="AA29" s="14"/>
      <c r="AB29" s="14"/>
      <c r="AC29" s="11"/>
      <c r="AD29" s="14"/>
      <c r="AE29" s="14"/>
      <c r="AF29" s="11" t="str">
        <f t="shared" si="0"/>
        <v/>
      </c>
      <c r="AG29" s="14"/>
      <c r="AH29" s="14"/>
      <c r="AI29" s="11" t="str">
        <f t="shared" si="1"/>
        <v/>
      </c>
      <c r="AJ29" s="14"/>
      <c r="AK29" s="11" t="str">
        <f t="shared" si="2"/>
        <v/>
      </c>
      <c r="AL29" s="11" t="str">
        <f t="shared" si="3"/>
        <v/>
      </c>
      <c r="AM29" s="11">
        <f t="shared" ref="AM29:AM68" si="12">IF(COUNT(D29,G29,J29,M29,P29,S29,V29,Y29,AF29,AI29,AT29,AW29,AZ29,BC29,BF29)=0,"",ROUND(N(D29)*1440+N(G29)*1440+N(J29)*1440+N(M29)*1440+N(P29)*1440+N(S29)*1440+N(V29)*1440+N(Y29)*1440+N(AF29)+N(AI29)+N(AT29)+N(AW29)+N(AZ29)+N(BC29)+N(BF29),1))</f>
        <v>20.399999999999999</v>
      </c>
      <c r="AN29" s="15" t="str">
        <f t="shared" si="4"/>
        <v/>
      </c>
      <c r="AO29" s="15"/>
      <c r="AP29" s="16"/>
      <c r="AQ29" s="21"/>
      <c r="AR29" s="18">
        <v>0.62708333333333333</v>
      </c>
      <c r="AS29" s="18">
        <v>0.62847222222222221</v>
      </c>
      <c r="AT29" s="60">
        <f t="shared" si="11"/>
        <v>1.388888888888884E-3</v>
      </c>
      <c r="AW29" s="60"/>
      <c r="BA29" s="18">
        <v>0.58055555555555605</v>
      </c>
      <c r="BB29" s="18">
        <v>0.58750000000000002</v>
      </c>
      <c r="BC29" s="60">
        <f t="shared" si="10"/>
        <v>6.9444444444439757E-3</v>
      </c>
      <c r="BD29" s="32">
        <v>0.56805555555555554</v>
      </c>
      <c r="BE29" s="32">
        <v>0.57013888888888886</v>
      </c>
      <c r="BF29" s="61">
        <f t="shared" si="7"/>
        <v>2.0833333333333259E-3</v>
      </c>
      <c r="BG29" s="58">
        <v>0.60069444444444442</v>
      </c>
      <c r="BH29" s="58">
        <v>0.6020833333333333</v>
      </c>
      <c r="BI29" s="10">
        <f t="shared" si="8"/>
        <v>6.9444444444444198E-3</v>
      </c>
      <c r="BJ29" s="60">
        <f t="shared" si="9"/>
        <v>1.388888888888884E-3</v>
      </c>
    </row>
    <row r="30" spans="1:62" s="17" customFormat="1" x14ac:dyDescent="0.3">
      <c r="A30" s="23">
        <v>28</v>
      </c>
      <c r="B30" s="7"/>
      <c r="C30" s="7">
        <v>28</v>
      </c>
      <c r="D30" s="10">
        <v>7.8703703703703705E-4</v>
      </c>
      <c r="E30" s="11"/>
      <c r="F30" s="14"/>
      <c r="G30" s="14"/>
      <c r="H30" s="11"/>
      <c r="I30" s="7"/>
      <c r="J30" s="14"/>
      <c r="K30" s="11"/>
      <c r="L30" s="7">
        <v>26</v>
      </c>
      <c r="M30" s="10"/>
      <c r="N30" s="11"/>
      <c r="O30" s="7">
        <v>26</v>
      </c>
      <c r="P30" s="10">
        <v>1.0648148148148201E-3</v>
      </c>
      <c r="Q30" s="11" t="s">
        <v>66</v>
      </c>
      <c r="R30" s="7">
        <v>26</v>
      </c>
      <c r="S30" s="10">
        <v>6.3657407407407413E-4</v>
      </c>
      <c r="T30" s="11"/>
      <c r="U30" s="7">
        <v>26</v>
      </c>
      <c r="V30" s="10">
        <v>5.9490740740740745E-3</v>
      </c>
      <c r="W30" s="11"/>
      <c r="X30" s="7">
        <v>26</v>
      </c>
      <c r="Y30" s="14"/>
      <c r="Z30" s="11"/>
      <c r="AA30" s="14"/>
      <c r="AB30" s="14"/>
      <c r="AC30" s="11"/>
      <c r="AD30" s="14"/>
      <c r="AE30" s="14"/>
      <c r="AF30" s="11" t="str">
        <f t="shared" si="0"/>
        <v/>
      </c>
      <c r="AG30" s="14"/>
      <c r="AH30" s="14"/>
      <c r="AI30" s="11" t="str">
        <f t="shared" si="1"/>
        <v/>
      </c>
      <c r="AJ30" s="14"/>
      <c r="AK30" s="11" t="str">
        <f t="shared" si="2"/>
        <v/>
      </c>
      <c r="AL30" s="11" t="str">
        <f t="shared" si="3"/>
        <v/>
      </c>
      <c r="AM30" s="11">
        <f t="shared" si="12"/>
        <v>12.2</v>
      </c>
      <c r="AN30" s="15" t="str">
        <f t="shared" si="4"/>
        <v/>
      </c>
      <c r="AO30" s="15"/>
      <c r="AP30" s="16"/>
      <c r="AQ30" s="21"/>
      <c r="AR30" s="18">
        <v>0.63749999999999996</v>
      </c>
      <c r="AS30" s="18">
        <v>0.63958333333333328</v>
      </c>
      <c r="AT30" s="60">
        <f t="shared" si="11"/>
        <v>2.0833333333333259E-3</v>
      </c>
      <c r="AW30" s="60"/>
      <c r="BA30" s="18">
        <v>0.59027777777777801</v>
      </c>
      <c r="BB30" s="18">
        <v>0.59861111111111098</v>
      </c>
      <c r="BC30" s="60">
        <f t="shared" si="10"/>
        <v>8.3333333333329707E-3</v>
      </c>
      <c r="BD30" s="18">
        <v>0.62916666666666665</v>
      </c>
      <c r="BE30" s="18">
        <v>0.63055555555555554</v>
      </c>
      <c r="BF30" s="60">
        <f t="shared" si="7"/>
        <v>1.388888888888884E-3</v>
      </c>
      <c r="BG30" s="58">
        <v>0.60902777777777772</v>
      </c>
      <c r="BH30" s="58">
        <v>0.61111111111111116</v>
      </c>
      <c r="BI30" s="10">
        <f t="shared" si="8"/>
        <v>6.9444444444444198E-4</v>
      </c>
      <c r="BJ30" s="60">
        <f t="shared" si="9"/>
        <v>2.083333333333437E-3</v>
      </c>
    </row>
    <row r="31" spans="1:62" s="17" customFormat="1" x14ac:dyDescent="0.3">
      <c r="A31" s="23">
        <v>29</v>
      </c>
      <c r="B31" s="7"/>
      <c r="C31" s="7">
        <v>29</v>
      </c>
      <c r="D31" s="10">
        <v>7.2916666666666703E-4</v>
      </c>
      <c r="E31" s="11"/>
      <c r="F31" s="14"/>
      <c r="G31" s="14"/>
      <c r="H31" s="11"/>
      <c r="I31" s="7"/>
      <c r="J31" s="14"/>
      <c r="K31" s="11"/>
      <c r="L31" s="7">
        <v>27</v>
      </c>
      <c r="M31" s="14"/>
      <c r="N31" s="11"/>
      <c r="O31" s="7">
        <v>27</v>
      </c>
      <c r="P31" s="10">
        <v>6.4814814814814802E-4</v>
      </c>
      <c r="Q31" s="11"/>
      <c r="R31" s="7">
        <v>27</v>
      </c>
      <c r="S31" s="10">
        <v>6.7129629629629625E-4</v>
      </c>
      <c r="T31" s="11"/>
      <c r="U31" s="7">
        <v>27</v>
      </c>
      <c r="V31" s="10">
        <v>5.092592592592593E-3</v>
      </c>
      <c r="W31" s="11"/>
      <c r="X31" s="7">
        <v>27</v>
      </c>
      <c r="Y31" s="14"/>
      <c r="Z31" s="11"/>
      <c r="AA31" s="14"/>
      <c r="AB31" s="14"/>
      <c r="AC31" s="11"/>
      <c r="AD31" s="14"/>
      <c r="AE31" s="14"/>
      <c r="AF31" s="11" t="str">
        <f t="shared" si="0"/>
        <v/>
      </c>
      <c r="AG31" s="14"/>
      <c r="AH31" s="14"/>
      <c r="AI31" s="11" t="str">
        <f t="shared" si="1"/>
        <v/>
      </c>
      <c r="AJ31" s="14"/>
      <c r="AK31" s="11" t="str">
        <f t="shared" si="2"/>
        <v/>
      </c>
      <c r="AL31" s="11" t="str">
        <f t="shared" si="3"/>
        <v/>
      </c>
      <c r="AM31" s="11">
        <f t="shared" si="12"/>
        <v>10.3</v>
      </c>
      <c r="AN31" s="15" t="str">
        <f t="shared" si="4"/>
        <v/>
      </c>
      <c r="AO31" s="15"/>
      <c r="AP31" s="16"/>
      <c r="AQ31" s="21"/>
      <c r="AR31" s="18">
        <v>0.64236111111111116</v>
      </c>
      <c r="AS31" s="18">
        <v>0.64375000000000004</v>
      </c>
      <c r="AT31" s="60">
        <f t="shared" si="11"/>
        <v>1.388888888888884E-3</v>
      </c>
      <c r="AW31" s="60"/>
      <c r="BA31" s="18">
        <v>0.59791666666666698</v>
      </c>
      <c r="BB31" s="18">
        <v>0.60277777777777797</v>
      </c>
      <c r="BC31" s="60">
        <f t="shared" si="10"/>
        <v>4.8611111111109828E-3</v>
      </c>
      <c r="BD31" s="18"/>
      <c r="BE31" s="18"/>
      <c r="BF31" s="10"/>
      <c r="BG31" s="58">
        <v>0.6118055555555556</v>
      </c>
      <c r="BH31" s="58">
        <v>0.61319444444444449</v>
      </c>
      <c r="BI31" s="10" t="s">
        <v>77</v>
      </c>
      <c r="BJ31" s="60">
        <f t="shared" si="9"/>
        <v>1.388888888888884E-3</v>
      </c>
    </row>
    <row r="32" spans="1:62" s="17" customFormat="1" x14ac:dyDescent="0.3">
      <c r="A32" s="23">
        <v>30</v>
      </c>
      <c r="B32" s="7"/>
      <c r="C32" s="7">
        <v>30</v>
      </c>
      <c r="D32" s="10">
        <v>7.2916666666666703E-4</v>
      </c>
      <c r="E32" s="11"/>
      <c r="F32" s="14"/>
      <c r="G32" s="14"/>
      <c r="H32" s="11"/>
      <c r="I32" s="7"/>
      <c r="J32" s="14"/>
      <c r="K32" s="11"/>
      <c r="L32" s="7">
        <v>28</v>
      </c>
      <c r="M32" s="14"/>
      <c r="N32" s="11"/>
      <c r="O32" s="7">
        <v>28</v>
      </c>
      <c r="P32" s="10">
        <v>1.0879629629629601E-3</v>
      </c>
      <c r="Q32" s="11"/>
      <c r="R32" s="7">
        <v>28</v>
      </c>
      <c r="S32" s="10">
        <v>6.018518518518519E-4</v>
      </c>
      <c r="T32" s="11"/>
      <c r="U32" s="7">
        <v>28</v>
      </c>
      <c r="V32" s="10">
        <v>7.3032407407407404E-3</v>
      </c>
      <c r="W32" s="11"/>
      <c r="X32" s="7">
        <v>28</v>
      </c>
      <c r="Y32" s="14"/>
      <c r="Z32" s="11"/>
      <c r="AA32" s="14"/>
      <c r="AB32" s="14"/>
      <c r="AC32" s="11"/>
      <c r="AD32" s="14"/>
      <c r="AE32" s="14"/>
      <c r="AF32" s="11" t="str">
        <f t="shared" si="0"/>
        <v/>
      </c>
      <c r="AG32" s="14"/>
      <c r="AH32" s="14"/>
      <c r="AI32" s="11" t="str">
        <f t="shared" si="1"/>
        <v/>
      </c>
      <c r="AJ32" s="14"/>
      <c r="AK32" s="11" t="str">
        <f t="shared" si="2"/>
        <v/>
      </c>
      <c r="AL32" s="11" t="str">
        <f t="shared" si="3"/>
        <v/>
      </c>
      <c r="AM32" s="11">
        <f t="shared" si="12"/>
        <v>14</v>
      </c>
      <c r="AN32" s="15" t="str">
        <f t="shared" si="4"/>
        <v/>
      </c>
      <c r="AO32" s="15"/>
      <c r="AP32" s="16"/>
      <c r="AQ32" s="21"/>
      <c r="AR32" s="18"/>
      <c r="AS32" s="18"/>
      <c r="AT32" s="10"/>
      <c r="AW32" s="60"/>
      <c r="BA32" s="18">
        <v>0.64652777777777803</v>
      </c>
      <c r="BB32" s="18">
        <v>0.655555555555556</v>
      </c>
      <c r="BC32" s="60">
        <f t="shared" si="10"/>
        <v>9.0277777777779677E-3</v>
      </c>
      <c r="BD32" s="18"/>
      <c r="BE32" s="18"/>
      <c r="BF32" s="10"/>
      <c r="BG32" s="58">
        <v>0.61250000000000004</v>
      </c>
      <c r="BH32" s="58">
        <v>0.61944444444444446</v>
      </c>
      <c r="BI32" s="10">
        <f t="shared" si="8"/>
        <v>1.388888888888884E-3</v>
      </c>
      <c r="BJ32" s="60">
        <f t="shared" si="9"/>
        <v>6.9444444444444198E-3</v>
      </c>
    </row>
    <row r="33" spans="1:62" s="17" customFormat="1" x14ac:dyDescent="0.3">
      <c r="A33" s="23">
        <v>31</v>
      </c>
      <c r="B33" s="7"/>
      <c r="C33" s="7">
        <v>31</v>
      </c>
      <c r="D33" s="10">
        <v>4.1666666666666702E-4</v>
      </c>
      <c r="E33" s="11"/>
      <c r="F33" s="14"/>
      <c r="G33" s="14"/>
      <c r="H33" s="11"/>
      <c r="I33" s="7"/>
      <c r="J33" s="14"/>
      <c r="K33" s="11"/>
      <c r="L33" s="7">
        <v>29</v>
      </c>
      <c r="M33" s="14"/>
      <c r="N33" s="11"/>
      <c r="O33" s="7">
        <v>29</v>
      </c>
      <c r="P33" s="10">
        <v>7.5231481481481503E-4</v>
      </c>
      <c r="Q33" s="11" t="s">
        <v>66</v>
      </c>
      <c r="R33" s="7">
        <v>29</v>
      </c>
      <c r="S33" s="10">
        <v>6.018518518518519E-4</v>
      </c>
      <c r="T33" s="11"/>
      <c r="U33" s="7">
        <v>29</v>
      </c>
      <c r="V33" s="10"/>
      <c r="W33" s="11"/>
      <c r="X33" s="7">
        <v>29</v>
      </c>
      <c r="Y33" s="14"/>
      <c r="Z33" s="11"/>
      <c r="AA33" s="14"/>
      <c r="AB33" s="14"/>
      <c r="AC33" s="11"/>
      <c r="AD33" s="14"/>
      <c r="AE33" s="14"/>
      <c r="AF33" s="11" t="str">
        <f t="shared" si="0"/>
        <v/>
      </c>
      <c r="AG33" s="14"/>
      <c r="AH33" s="14"/>
      <c r="AI33" s="11" t="str">
        <f t="shared" si="1"/>
        <v/>
      </c>
      <c r="AJ33" s="14"/>
      <c r="AK33" s="11" t="str">
        <f t="shared" si="2"/>
        <v/>
      </c>
      <c r="AL33" s="11" t="str">
        <f t="shared" si="3"/>
        <v/>
      </c>
      <c r="AM33" s="11">
        <f t="shared" si="12"/>
        <v>2.6</v>
      </c>
      <c r="AN33" s="15" t="str">
        <f t="shared" si="4"/>
        <v/>
      </c>
      <c r="AO33" s="15"/>
      <c r="AP33" s="16"/>
      <c r="AQ33" s="21"/>
      <c r="AR33" s="18"/>
      <c r="AS33" s="18"/>
      <c r="AT33" s="10"/>
      <c r="AW33" s="60"/>
      <c r="BA33" s="18">
        <v>0.62152777777777801</v>
      </c>
      <c r="BB33" s="18">
        <v>0.624305555555556</v>
      </c>
      <c r="BC33" s="60">
        <f t="shared" si="10"/>
        <v>2.77777777777799E-3</v>
      </c>
      <c r="BD33" s="18"/>
      <c r="BE33" s="18"/>
      <c r="BF33" s="10"/>
      <c r="BG33" s="58">
        <v>0.62083333333333335</v>
      </c>
      <c r="BH33" s="58">
        <v>0.62708333333333333</v>
      </c>
      <c r="BI33" s="10" t="s">
        <v>77</v>
      </c>
      <c r="BJ33" s="60">
        <f t="shared" si="9"/>
        <v>6.2499999999999778E-3</v>
      </c>
    </row>
    <row r="34" spans="1:62" s="17" customFormat="1" x14ac:dyDescent="0.3">
      <c r="A34" s="23">
        <v>32</v>
      </c>
      <c r="B34" s="7"/>
      <c r="C34" s="7">
        <v>32</v>
      </c>
      <c r="D34" s="10">
        <v>1.6782407407407399E-3</v>
      </c>
      <c r="E34" s="11" t="s">
        <v>74</v>
      </c>
      <c r="F34" s="14"/>
      <c r="G34" s="14"/>
      <c r="H34" s="11"/>
      <c r="I34" s="7"/>
      <c r="J34" s="14"/>
      <c r="K34" s="11"/>
      <c r="L34" s="7">
        <v>30</v>
      </c>
      <c r="M34" s="14"/>
      <c r="N34" s="11"/>
      <c r="O34" s="7">
        <v>30</v>
      </c>
      <c r="P34" s="10">
        <v>7.1759259259259302E-4</v>
      </c>
      <c r="Q34" s="11" t="s">
        <v>66</v>
      </c>
      <c r="R34" s="7">
        <v>30</v>
      </c>
      <c r="S34" s="10">
        <v>4.7453703703703704E-4</v>
      </c>
      <c r="T34" s="11"/>
      <c r="U34" s="7">
        <v>30</v>
      </c>
      <c r="V34" s="10"/>
      <c r="W34" s="11"/>
      <c r="X34" s="7">
        <v>30</v>
      </c>
      <c r="Y34" s="14"/>
      <c r="Z34" s="11"/>
      <c r="AA34" s="14"/>
      <c r="AB34" s="14"/>
      <c r="AC34" s="11"/>
      <c r="AD34" s="14"/>
      <c r="AE34" s="14"/>
      <c r="AF34" s="11" t="str">
        <f t="shared" si="0"/>
        <v/>
      </c>
      <c r="AG34" s="14"/>
      <c r="AH34" s="14"/>
      <c r="AI34" s="11" t="str">
        <f t="shared" si="1"/>
        <v/>
      </c>
      <c r="AJ34" s="14"/>
      <c r="AK34" s="11" t="str">
        <f t="shared" si="2"/>
        <v/>
      </c>
      <c r="AL34" s="11" t="str">
        <f t="shared" si="3"/>
        <v/>
      </c>
      <c r="AM34" s="11">
        <f t="shared" si="12"/>
        <v>4.0999999999999996</v>
      </c>
      <c r="AN34" s="15" t="str">
        <f t="shared" si="4"/>
        <v/>
      </c>
      <c r="AO34" s="15"/>
      <c r="AP34" s="16"/>
      <c r="AQ34" s="21"/>
      <c r="AS34" s="18"/>
      <c r="AT34" s="10"/>
      <c r="AW34" s="60"/>
      <c r="BA34" s="18">
        <v>0.62708333333333299</v>
      </c>
      <c r="BB34" s="18">
        <v>0.63055555555555598</v>
      </c>
      <c r="BC34" s="60">
        <f t="shared" si="10"/>
        <v>3.472222222222987E-3</v>
      </c>
      <c r="BD34" s="18"/>
      <c r="BE34" s="18"/>
      <c r="BF34" s="10"/>
      <c r="BG34" s="58">
        <v>0.29652777777777778</v>
      </c>
      <c r="BH34" s="58">
        <v>0.29791666666666666</v>
      </c>
      <c r="BI34" s="10">
        <v>1.8749999999999989E-2</v>
      </c>
      <c r="BJ34" s="60">
        <f t="shared" si="9"/>
        <v>1.388888888888884E-3</v>
      </c>
    </row>
    <row r="35" spans="1:62" s="17" customFormat="1" x14ac:dyDescent="0.3">
      <c r="A35" s="23">
        <v>33</v>
      </c>
      <c r="B35" s="7"/>
      <c r="C35" s="7">
        <v>33</v>
      </c>
      <c r="D35" s="14"/>
      <c r="E35" s="11"/>
      <c r="F35" s="14"/>
      <c r="G35" s="14"/>
      <c r="H35" s="11"/>
      <c r="I35" s="7"/>
      <c r="J35" s="14"/>
      <c r="K35" s="11"/>
      <c r="L35" s="7">
        <v>31</v>
      </c>
      <c r="M35" s="14"/>
      <c r="N35" s="11"/>
      <c r="O35" s="7">
        <v>31</v>
      </c>
      <c r="P35" s="10">
        <v>8.3333333333333295E-4</v>
      </c>
      <c r="Q35" s="11"/>
      <c r="R35" s="7">
        <v>31</v>
      </c>
      <c r="S35" s="10">
        <v>4.9768518518518521E-4</v>
      </c>
      <c r="T35" s="11"/>
      <c r="U35" s="7">
        <v>31</v>
      </c>
      <c r="V35" s="10"/>
      <c r="W35" s="11"/>
      <c r="X35" s="7">
        <v>31</v>
      </c>
      <c r="Y35" s="14"/>
      <c r="Z35" s="11"/>
      <c r="AA35" s="14"/>
      <c r="AB35" s="14"/>
      <c r="AC35" s="11"/>
      <c r="AD35" s="14"/>
      <c r="AE35" s="14"/>
      <c r="AF35" s="11" t="str">
        <f t="shared" si="0"/>
        <v/>
      </c>
      <c r="AG35" s="14"/>
      <c r="AH35" s="14"/>
      <c r="AI35" s="11" t="str">
        <f t="shared" si="1"/>
        <v/>
      </c>
      <c r="AJ35" s="14"/>
      <c r="AK35" s="11" t="str">
        <f t="shared" si="2"/>
        <v/>
      </c>
      <c r="AL35" s="11" t="str">
        <f t="shared" si="3"/>
        <v/>
      </c>
      <c r="AM35" s="11">
        <f t="shared" si="12"/>
        <v>1.9</v>
      </c>
      <c r="AN35" s="15" t="str">
        <f t="shared" si="4"/>
        <v/>
      </c>
      <c r="AO35" s="15"/>
      <c r="AP35" s="16"/>
      <c r="AQ35" s="21"/>
      <c r="AS35" s="18"/>
      <c r="AT35" s="10"/>
      <c r="AW35" s="60"/>
      <c r="BA35" s="18">
        <v>0.66041666666666698</v>
      </c>
      <c r="BB35" s="18">
        <v>0.66805555555555596</v>
      </c>
      <c r="BC35" s="60">
        <f>BB14-BA14</f>
        <v>1.4583333333333171E-2</v>
      </c>
      <c r="BD35" s="18"/>
      <c r="BE35" s="18"/>
      <c r="BF35" s="10"/>
      <c r="BG35" s="58">
        <v>0.31666666666666665</v>
      </c>
      <c r="BH35" s="58">
        <v>0.31944444444444442</v>
      </c>
      <c r="BI35" s="10">
        <v>1.736111111111116E-2</v>
      </c>
      <c r="BJ35" s="60">
        <f t="shared" si="9"/>
        <v>2.7777777777777679E-3</v>
      </c>
    </row>
    <row r="36" spans="1:62" s="17" customFormat="1" x14ac:dyDescent="0.3">
      <c r="A36" s="23">
        <v>34</v>
      </c>
      <c r="B36" s="7"/>
      <c r="C36" s="7">
        <v>34</v>
      </c>
      <c r="D36" s="14"/>
      <c r="E36" s="11"/>
      <c r="F36" s="14"/>
      <c r="G36" s="14"/>
      <c r="H36" s="11"/>
      <c r="I36" s="7"/>
      <c r="J36" s="14"/>
      <c r="K36" s="11"/>
      <c r="L36" s="7">
        <v>32</v>
      </c>
      <c r="M36" s="14"/>
      <c r="N36" s="11"/>
      <c r="O36" s="7">
        <v>32</v>
      </c>
      <c r="P36" s="10">
        <v>5.0925925925925921E-4</v>
      </c>
      <c r="Q36" s="11"/>
      <c r="R36" s="7">
        <v>32</v>
      </c>
      <c r="S36" s="10">
        <v>7.291666666666667E-4</v>
      </c>
      <c r="T36" s="11"/>
      <c r="U36" s="14"/>
      <c r="V36" s="10"/>
      <c r="W36" s="11"/>
      <c r="X36" s="14"/>
      <c r="Y36" s="14"/>
      <c r="Z36" s="11"/>
      <c r="AA36" s="14"/>
      <c r="AB36" s="14"/>
      <c r="AC36" s="11"/>
      <c r="AD36" s="14"/>
      <c r="AE36" s="14"/>
      <c r="AF36" s="11" t="str">
        <f t="shared" si="0"/>
        <v/>
      </c>
      <c r="AG36" s="14"/>
      <c r="AH36" s="14"/>
      <c r="AI36" s="11" t="str">
        <f t="shared" si="1"/>
        <v/>
      </c>
      <c r="AJ36" s="14"/>
      <c r="AK36" s="11" t="str">
        <f t="shared" si="2"/>
        <v/>
      </c>
      <c r="AL36" s="11" t="str">
        <f t="shared" si="3"/>
        <v/>
      </c>
      <c r="AM36" s="11">
        <f t="shared" ref="AM36:AM45" si="13">IF(COUNT(D36,G36,J36,M36,P36,S36,V36,Y36,AF36,AI36,AT36,AW5,AZ36,BC36,BF5)=0,"",ROUND(N(D36)*1440+N(G36)*1440+N(J36)*1440+N(M36)*1440+N(P36)*1440+N(S36)*1440+N(V36)*1440+N(Y36)*1440+N(AF36)+N(AI36)+N(AT36)+N(AW5)+N(AZ36)+N(BC36)+N(BF5),1))</f>
        <v>1.8</v>
      </c>
      <c r="AN36" s="15" t="str">
        <f t="shared" si="4"/>
        <v/>
      </c>
      <c r="AO36" s="15"/>
      <c r="AP36" s="16"/>
      <c r="AQ36" s="21"/>
      <c r="AR36" s="18"/>
      <c r="AS36" s="18"/>
      <c r="AT36" s="10"/>
      <c r="AW36" s="60"/>
      <c r="BA36" s="18">
        <v>0.42777777777777798</v>
      </c>
      <c r="BB36" s="18">
        <v>0.43958333333333299</v>
      </c>
      <c r="BC36" s="60">
        <f>BB14-BA14</f>
        <v>1.4583333333333171E-2</v>
      </c>
      <c r="BG36" s="58">
        <v>0.33680555555555558</v>
      </c>
      <c r="BH36" s="58">
        <v>0.33750000000000002</v>
      </c>
      <c r="BI36" s="10">
        <v>0</v>
      </c>
      <c r="BJ36" s="60">
        <f t="shared" si="9"/>
        <v>6.9444444444444198E-4</v>
      </c>
    </row>
    <row r="37" spans="1:62" s="17" customFormat="1" x14ac:dyDescent="0.3">
      <c r="A37" s="23">
        <v>35</v>
      </c>
      <c r="B37" s="7"/>
      <c r="C37" s="7">
        <v>35</v>
      </c>
      <c r="D37" s="14"/>
      <c r="E37" s="11"/>
      <c r="F37" s="14"/>
      <c r="G37" s="14"/>
      <c r="H37" s="11"/>
      <c r="I37" s="7"/>
      <c r="J37" s="14"/>
      <c r="K37" s="11"/>
      <c r="L37" s="7">
        <v>33</v>
      </c>
      <c r="M37" s="14"/>
      <c r="N37" s="11"/>
      <c r="O37" s="7">
        <v>33</v>
      </c>
      <c r="P37" s="10">
        <v>3.8194444444444446E-4</v>
      </c>
      <c r="Q37" s="11"/>
      <c r="R37" s="7">
        <v>33</v>
      </c>
      <c r="S37" s="10">
        <v>2.0601851851851853E-3</v>
      </c>
      <c r="T37" s="11"/>
      <c r="U37" s="14"/>
      <c r="V37" s="10"/>
      <c r="W37" s="11"/>
      <c r="X37" s="14"/>
      <c r="Y37" s="14"/>
      <c r="Z37" s="11"/>
      <c r="AA37" s="14"/>
      <c r="AB37" s="14"/>
      <c r="AC37" s="11"/>
      <c r="AD37" s="14"/>
      <c r="AE37" s="14"/>
      <c r="AF37" s="11" t="str">
        <f t="shared" si="0"/>
        <v/>
      </c>
      <c r="AG37" s="14"/>
      <c r="AH37" s="14"/>
      <c r="AI37" s="11" t="str">
        <f t="shared" si="1"/>
        <v/>
      </c>
      <c r="AJ37" s="14"/>
      <c r="AK37" s="11" t="str">
        <f t="shared" si="2"/>
        <v/>
      </c>
      <c r="AL37" s="11" t="str">
        <f t="shared" si="3"/>
        <v/>
      </c>
      <c r="AM37" s="11">
        <f t="shared" si="13"/>
        <v>3.5</v>
      </c>
      <c r="AN37" s="15" t="str">
        <f t="shared" si="4"/>
        <v/>
      </c>
      <c r="AO37" s="15"/>
      <c r="AP37" s="16"/>
      <c r="AQ37" s="21"/>
      <c r="AR37" s="18"/>
      <c r="AS37" s="18"/>
      <c r="AT37" s="10"/>
      <c r="AW37" s="60"/>
      <c r="BA37" s="18">
        <v>0.40763888888888899</v>
      </c>
      <c r="BB37" s="18">
        <v>0.41388888888888897</v>
      </c>
      <c r="BC37" s="60">
        <f t="shared" ref="BC37:BC54" si="14">BB15-BA15</f>
        <v>8.3333333333330817E-3</v>
      </c>
      <c r="BG37" s="58">
        <v>0.33750000000000002</v>
      </c>
      <c r="BH37" s="58">
        <v>0.34027777777777779</v>
      </c>
      <c r="BI37" s="10">
        <v>1.7361111111111105E-2</v>
      </c>
      <c r="BJ37" s="60">
        <f t="shared" si="9"/>
        <v>2.7777777777777679E-3</v>
      </c>
    </row>
    <row r="38" spans="1:62" s="17" customFormat="1" x14ac:dyDescent="0.3">
      <c r="A38" s="23">
        <v>36</v>
      </c>
      <c r="B38" s="7"/>
      <c r="C38" s="7">
        <v>36</v>
      </c>
      <c r="D38" s="14"/>
      <c r="E38" s="11"/>
      <c r="F38" s="14"/>
      <c r="G38" s="14"/>
      <c r="H38" s="11"/>
      <c r="I38" s="7"/>
      <c r="J38" s="14"/>
      <c r="K38" s="11"/>
      <c r="L38" s="7">
        <v>34</v>
      </c>
      <c r="M38" s="14"/>
      <c r="N38" s="11"/>
      <c r="O38" s="7">
        <v>34</v>
      </c>
      <c r="P38" s="10">
        <v>5.5555555555555556E-4</v>
      </c>
      <c r="Q38" s="11"/>
      <c r="R38" s="7">
        <v>34</v>
      </c>
      <c r="S38" s="10">
        <v>4.5138888888888887E-4</v>
      </c>
      <c r="T38" s="11"/>
      <c r="U38" s="14"/>
      <c r="V38" s="10"/>
      <c r="W38" s="11"/>
      <c r="X38" s="14"/>
      <c r="Y38" s="14"/>
      <c r="Z38" s="11"/>
      <c r="AA38" s="14"/>
      <c r="AB38" s="14"/>
      <c r="AC38" s="11"/>
      <c r="AD38" s="14"/>
      <c r="AE38" s="14"/>
      <c r="AF38" s="11" t="str">
        <f t="shared" si="0"/>
        <v/>
      </c>
      <c r="AG38" s="14"/>
      <c r="AH38" s="14"/>
      <c r="AI38" s="11" t="str">
        <f t="shared" si="1"/>
        <v/>
      </c>
      <c r="AJ38" s="14"/>
      <c r="AK38" s="11" t="str">
        <f t="shared" si="2"/>
        <v/>
      </c>
      <c r="AL38" s="11" t="str">
        <f t="shared" si="3"/>
        <v/>
      </c>
      <c r="AM38" s="11">
        <f t="shared" si="13"/>
        <v>1.5</v>
      </c>
      <c r="AN38" s="15" t="str">
        <f t="shared" si="4"/>
        <v/>
      </c>
      <c r="AO38" s="15"/>
      <c r="AP38" s="16"/>
      <c r="AQ38" s="21"/>
      <c r="AR38" s="18"/>
      <c r="AS38" s="18"/>
      <c r="AW38" s="60"/>
      <c r="BA38" s="18">
        <v>0.51180555555555596</v>
      </c>
      <c r="BB38" s="18">
        <v>0.52152777777777803</v>
      </c>
      <c r="BC38" s="60">
        <f t="shared" si="14"/>
        <v>8.3333333333329707E-3</v>
      </c>
      <c r="BG38" s="58">
        <v>0.3576388888888889</v>
      </c>
      <c r="BH38" s="58">
        <v>0.36319444444444443</v>
      </c>
      <c r="BI38" s="10">
        <v>6.9444444444444198E-4</v>
      </c>
      <c r="BJ38" s="60">
        <f t="shared" si="9"/>
        <v>5.5555555555555358E-3</v>
      </c>
    </row>
    <row r="39" spans="1:62" s="17" customFormat="1" x14ac:dyDescent="0.3">
      <c r="A39" s="23">
        <v>37</v>
      </c>
      <c r="B39" s="7"/>
      <c r="C39" s="7">
        <v>37</v>
      </c>
      <c r="D39" s="14"/>
      <c r="E39" s="11"/>
      <c r="F39" s="14"/>
      <c r="G39" s="14"/>
      <c r="H39" s="11"/>
      <c r="I39" s="7"/>
      <c r="J39" s="14"/>
      <c r="K39" s="11"/>
      <c r="L39" s="7">
        <v>35</v>
      </c>
      <c r="M39" s="14"/>
      <c r="N39" s="11"/>
      <c r="O39" s="7">
        <v>35</v>
      </c>
      <c r="P39" s="10">
        <v>7.291666666666667E-4</v>
      </c>
      <c r="Q39" s="11"/>
      <c r="R39" s="7">
        <v>35</v>
      </c>
      <c r="S39" s="10">
        <v>3.9351851851851852E-4</v>
      </c>
      <c r="T39" s="11"/>
      <c r="U39" s="14"/>
      <c r="V39" s="10"/>
      <c r="W39" s="11"/>
      <c r="X39" s="14"/>
      <c r="Y39" s="14"/>
      <c r="Z39" s="11"/>
      <c r="AA39" s="14"/>
      <c r="AB39" s="14"/>
      <c r="AC39" s="11"/>
      <c r="AD39" s="14"/>
      <c r="AE39" s="14"/>
      <c r="AF39" s="11" t="str">
        <f t="shared" si="0"/>
        <v/>
      </c>
      <c r="AG39" s="14"/>
      <c r="AH39" s="14"/>
      <c r="AI39" s="11" t="str">
        <f t="shared" si="1"/>
        <v/>
      </c>
      <c r="AJ39" s="14"/>
      <c r="AK39" s="11" t="str">
        <f t="shared" si="2"/>
        <v/>
      </c>
      <c r="AL39" s="11" t="str">
        <f t="shared" si="3"/>
        <v/>
      </c>
      <c r="AM39" s="11">
        <f t="shared" si="13"/>
        <v>1.6</v>
      </c>
      <c r="AN39" s="15" t="str">
        <f t="shared" si="4"/>
        <v/>
      </c>
      <c r="AO39" s="15"/>
      <c r="AP39" s="16"/>
      <c r="AQ39" s="21"/>
      <c r="AR39" s="18"/>
      <c r="AS39" s="18"/>
      <c r="AW39" s="60"/>
      <c r="BA39" s="18">
        <v>0.48263888888888901</v>
      </c>
      <c r="BB39" s="18">
        <v>0.48888888888888898</v>
      </c>
      <c r="BC39" s="60">
        <f t="shared" si="14"/>
        <v>9.7222222222220767E-3</v>
      </c>
      <c r="BG39" s="58">
        <v>0.36388888888888887</v>
      </c>
      <c r="BH39" s="58">
        <v>0.36458333333333331</v>
      </c>
      <c r="BI39" s="10"/>
      <c r="BJ39" s="60">
        <f t="shared" si="9"/>
        <v>6.9444444444444198E-4</v>
      </c>
    </row>
    <row r="40" spans="1:62" s="17" customFormat="1" x14ac:dyDescent="0.3">
      <c r="A40" s="23">
        <v>38</v>
      </c>
      <c r="B40" s="7"/>
      <c r="C40" s="7">
        <v>38</v>
      </c>
      <c r="D40" s="14"/>
      <c r="E40" s="11"/>
      <c r="F40" s="14"/>
      <c r="G40" s="14"/>
      <c r="H40" s="11"/>
      <c r="I40" s="7"/>
      <c r="J40" s="14"/>
      <c r="K40" s="11"/>
      <c r="L40" s="7">
        <v>36</v>
      </c>
      <c r="M40" s="14"/>
      <c r="N40" s="11"/>
      <c r="O40" s="7">
        <v>36</v>
      </c>
      <c r="P40" s="10">
        <v>5.6712962962962967E-4</v>
      </c>
      <c r="Q40" s="11"/>
      <c r="R40" s="7">
        <v>36</v>
      </c>
      <c r="S40" s="10">
        <v>1.0648148148148149E-3</v>
      </c>
      <c r="T40" s="11"/>
      <c r="U40" s="14"/>
      <c r="V40" s="14"/>
      <c r="W40" s="11"/>
      <c r="X40" s="14"/>
      <c r="Y40" s="14"/>
      <c r="Z40" s="11"/>
      <c r="AA40" s="14"/>
      <c r="AB40" s="14"/>
      <c r="AC40" s="11"/>
      <c r="AD40" s="14"/>
      <c r="AE40" s="14"/>
      <c r="AF40" s="11" t="str">
        <f t="shared" si="0"/>
        <v/>
      </c>
      <c r="AG40" s="14"/>
      <c r="AH40" s="14"/>
      <c r="AI40" s="11" t="str">
        <f t="shared" si="1"/>
        <v/>
      </c>
      <c r="AJ40" s="14"/>
      <c r="AK40" s="11" t="str">
        <f t="shared" si="2"/>
        <v/>
      </c>
      <c r="AL40" s="11" t="str">
        <f t="shared" si="3"/>
        <v/>
      </c>
      <c r="AM40" s="11">
        <f t="shared" si="13"/>
        <v>2.4</v>
      </c>
      <c r="AN40" s="15" t="str">
        <f t="shared" si="4"/>
        <v/>
      </c>
      <c r="AO40" s="15"/>
      <c r="AP40" s="16"/>
      <c r="AQ40" s="21"/>
      <c r="AR40" s="18"/>
      <c r="AS40" s="18"/>
      <c r="AW40" s="60"/>
      <c r="BA40" s="18">
        <v>0.51388888888888895</v>
      </c>
      <c r="BB40" s="18">
        <v>0.56597222222222199</v>
      </c>
      <c r="BC40" s="60">
        <f t="shared" si="14"/>
        <v>5.5555555555549807E-3</v>
      </c>
      <c r="BG40" s="58">
        <v>0.29791666666666666</v>
      </c>
      <c r="BH40" s="58">
        <v>0.3</v>
      </c>
      <c r="BI40" s="10">
        <f>BG41-BH40</f>
        <v>9.7222222222222432E-3</v>
      </c>
      <c r="BJ40" s="60">
        <f t="shared" si="9"/>
        <v>2.0833333333333259E-3</v>
      </c>
    </row>
    <row r="41" spans="1:62" s="17" customFormat="1" x14ac:dyDescent="0.3">
      <c r="A41" s="23">
        <v>39</v>
      </c>
      <c r="B41" s="7"/>
      <c r="C41" s="7">
        <v>39</v>
      </c>
      <c r="D41" s="14"/>
      <c r="E41" s="11"/>
      <c r="F41" s="14"/>
      <c r="G41" s="14"/>
      <c r="H41" s="11"/>
      <c r="I41" s="7"/>
      <c r="J41" s="14"/>
      <c r="K41" s="11"/>
      <c r="L41" s="7">
        <v>37</v>
      </c>
      <c r="M41" s="14"/>
      <c r="N41" s="11"/>
      <c r="O41" s="7">
        <v>37</v>
      </c>
      <c r="P41" s="10">
        <v>4.5138888888888887E-4</v>
      </c>
      <c r="Q41" s="11"/>
      <c r="R41" s="7">
        <v>37</v>
      </c>
      <c r="S41" s="10">
        <v>1.1689814814814816E-3</v>
      </c>
      <c r="T41" s="11"/>
      <c r="U41" s="14"/>
      <c r="V41" s="14"/>
      <c r="W41" s="11"/>
      <c r="X41" s="14"/>
      <c r="Y41" s="14"/>
      <c r="Z41" s="11"/>
      <c r="AA41" s="14"/>
      <c r="AB41" s="14"/>
      <c r="AC41" s="11"/>
      <c r="AD41" s="14"/>
      <c r="AE41" s="14"/>
      <c r="AF41" s="11" t="str">
        <f t="shared" si="0"/>
        <v/>
      </c>
      <c r="AG41" s="14"/>
      <c r="AH41" s="14"/>
      <c r="AI41" s="11" t="str">
        <f t="shared" si="1"/>
        <v/>
      </c>
      <c r="AJ41" s="14"/>
      <c r="AK41" s="11" t="str">
        <f t="shared" si="2"/>
        <v/>
      </c>
      <c r="AL41" s="11" t="str">
        <f t="shared" si="3"/>
        <v/>
      </c>
      <c r="AM41" s="11">
        <f t="shared" si="13"/>
        <v>2.2999999999999998</v>
      </c>
      <c r="AN41" s="15" t="str">
        <f t="shared" si="4"/>
        <v/>
      </c>
      <c r="AO41" s="15"/>
      <c r="AP41" s="16"/>
      <c r="AQ41" s="21"/>
      <c r="AR41" s="18"/>
      <c r="AS41" s="18"/>
      <c r="AW41" s="60"/>
      <c r="BA41" s="18">
        <v>0.64861111111111103</v>
      </c>
      <c r="BB41" s="18">
        <v>0.66388888888888897</v>
      </c>
      <c r="BC41" s="60">
        <f t="shared" si="14"/>
        <v>1.1805555555556013E-2</v>
      </c>
      <c r="BG41" s="58">
        <v>0.30972222222222223</v>
      </c>
      <c r="BH41" s="58">
        <v>0.31111111111111112</v>
      </c>
      <c r="BI41" s="10">
        <f t="shared" ref="BI41:BI57" si="15">BG42-BH41</f>
        <v>4.8611111111110938E-3</v>
      </c>
      <c r="BJ41" s="60">
        <f t="shared" si="9"/>
        <v>1.388888888888884E-3</v>
      </c>
    </row>
    <row r="42" spans="1:62" s="17" customFormat="1" x14ac:dyDescent="0.3">
      <c r="A42" s="23">
        <v>40</v>
      </c>
      <c r="B42" s="7"/>
      <c r="C42" s="7">
        <v>40</v>
      </c>
      <c r="D42" s="14"/>
      <c r="E42" s="11"/>
      <c r="F42" s="14"/>
      <c r="G42" s="14"/>
      <c r="H42" s="11"/>
      <c r="I42" s="7"/>
      <c r="J42" s="14"/>
      <c r="K42" s="11"/>
      <c r="L42" s="7">
        <v>38</v>
      </c>
      <c r="M42" s="14"/>
      <c r="N42" s="11"/>
      <c r="O42" s="7">
        <v>38</v>
      </c>
      <c r="P42" s="10">
        <v>1.3425925925925925E-3</v>
      </c>
      <c r="Q42" s="11"/>
      <c r="R42" s="7">
        <v>38</v>
      </c>
      <c r="S42" s="10">
        <v>6.134259259259259E-4</v>
      </c>
      <c r="T42" s="11"/>
      <c r="U42" s="14"/>
      <c r="V42" s="14"/>
      <c r="W42" s="11"/>
      <c r="X42" s="14"/>
      <c r="Y42" s="14"/>
      <c r="Z42" s="11"/>
      <c r="AA42" s="14"/>
      <c r="AB42" s="14"/>
      <c r="AC42" s="11"/>
      <c r="AD42" s="14"/>
      <c r="AE42" s="14"/>
      <c r="AF42" s="11" t="str">
        <f t="shared" si="0"/>
        <v/>
      </c>
      <c r="AG42" s="14"/>
      <c r="AH42" s="14"/>
      <c r="AI42" s="11" t="str">
        <f t="shared" si="1"/>
        <v/>
      </c>
      <c r="AJ42" s="14"/>
      <c r="AK42" s="11" t="str">
        <f t="shared" si="2"/>
        <v/>
      </c>
      <c r="AL42" s="11" t="str">
        <f t="shared" si="3"/>
        <v/>
      </c>
      <c r="AM42" s="11">
        <f t="shared" si="13"/>
        <v>2.8</v>
      </c>
      <c r="AN42" s="15" t="str">
        <f t="shared" si="4"/>
        <v/>
      </c>
      <c r="AO42" s="15"/>
      <c r="AP42" s="16"/>
      <c r="AQ42" s="21"/>
      <c r="AR42" s="18"/>
      <c r="AS42" s="18"/>
      <c r="AW42" s="60"/>
      <c r="BA42" s="18">
        <v>0.70138888888888895</v>
      </c>
      <c r="BB42" s="18">
        <v>0.71180555555555602</v>
      </c>
      <c r="BC42" s="60">
        <f t="shared" si="14"/>
        <v>1.2500000000000011E-2</v>
      </c>
      <c r="BG42" s="58">
        <v>0.31597222222222221</v>
      </c>
      <c r="BH42" s="58">
        <v>0.32083333333333336</v>
      </c>
      <c r="BI42" s="10">
        <f t="shared" si="15"/>
        <v>1.5277777777777779E-2</v>
      </c>
      <c r="BJ42" s="60">
        <f t="shared" si="9"/>
        <v>4.8611111111111494E-3</v>
      </c>
    </row>
    <row r="43" spans="1:62" s="17" customFormat="1" x14ac:dyDescent="0.3">
      <c r="A43" s="23">
        <v>41</v>
      </c>
      <c r="B43" s="7"/>
      <c r="C43" s="7">
        <v>41</v>
      </c>
      <c r="D43" s="14"/>
      <c r="E43" s="11"/>
      <c r="F43" s="14"/>
      <c r="G43" s="14"/>
      <c r="H43" s="11"/>
      <c r="I43" s="7"/>
      <c r="J43" s="14"/>
      <c r="K43" s="11"/>
      <c r="L43" s="7">
        <v>39</v>
      </c>
      <c r="M43" s="14"/>
      <c r="N43" s="11"/>
      <c r="O43" s="7">
        <v>39</v>
      </c>
      <c r="P43" s="10">
        <v>4.7453703703703704E-4</v>
      </c>
      <c r="Q43" s="11"/>
      <c r="R43" s="7">
        <v>39</v>
      </c>
      <c r="S43" s="10">
        <v>1.4236111111111112E-3</v>
      </c>
      <c r="T43" s="11"/>
      <c r="U43" s="14"/>
      <c r="V43" s="14"/>
      <c r="W43" s="11"/>
      <c r="X43" s="14"/>
      <c r="Y43" s="14"/>
      <c r="Z43" s="11"/>
      <c r="AA43" s="14"/>
      <c r="AB43" s="14"/>
      <c r="AC43" s="11"/>
      <c r="AD43" s="14"/>
      <c r="AE43" s="14"/>
      <c r="AF43" s="11" t="str">
        <f t="shared" si="0"/>
        <v/>
      </c>
      <c r="AG43" s="14"/>
      <c r="AH43" s="14"/>
      <c r="AI43" s="11" t="str">
        <f t="shared" si="1"/>
        <v/>
      </c>
      <c r="AJ43" s="14"/>
      <c r="AK43" s="11" t="str">
        <f t="shared" si="2"/>
        <v/>
      </c>
      <c r="AL43" s="11" t="str">
        <f t="shared" si="3"/>
        <v/>
      </c>
      <c r="AM43" s="11">
        <f t="shared" si="13"/>
        <v>2.8</v>
      </c>
      <c r="AN43" s="15" t="str">
        <f t="shared" si="4"/>
        <v/>
      </c>
      <c r="AO43" s="15"/>
      <c r="AP43" s="16"/>
      <c r="AQ43" s="21"/>
      <c r="AR43" s="18"/>
      <c r="AS43" s="18"/>
      <c r="AW43" s="60"/>
      <c r="BA43" s="18">
        <v>0.71736111111111101</v>
      </c>
      <c r="BB43" s="18">
        <v>0.72361111111111098</v>
      </c>
      <c r="BC43" s="60">
        <f t="shared" si="14"/>
        <v>1.3888888888888951E-2</v>
      </c>
      <c r="BG43" s="58">
        <v>0.33611111111111114</v>
      </c>
      <c r="BH43" s="58">
        <v>0.34166666666666667</v>
      </c>
      <c r="BI43" s="10">
        <f t="shared" si="15"/>
        <v>4.1666666666666519E-3</v>
      </c>
      <c r="BJ43" s="60">
        <f t="shared" si="9"/>
        <v>5.5555555555555358E-3</v>
      </c>
    </row>
    <row r="44" spans="1:62" s="17" customFormat="1" x14ac:dyDescent="0.3">
      <c r="A44" s="23">
        <v>42</v>
      </c>
      <c r="B44" s="7"/>
      <c r="C44" s="7">
        <v>42</v>
      </c>
      <c r="D44" s="14"/>
      <c r="E44" s="11"/>
      <c r="F44" s="14"/>
      <c r="G44" s="14"/>
      <c r="H44" s="11"/>
      <c r="I44" s="7"/>
      <c r="J44" s="14"/>
      <c r="K44" s="11"/>
      <c r="L44" s="7">
        <v>40</v>
      </c>
      <c r="M44" s="14"/>
      <c r="N44" s="11"/>
      <c r="O44" s="7">
        <v>40</v>
      </c>
      <c r="P44" s="10">
        <v>5.2083333333333333E-4</v>
      </c>
      <c r="Q44" s="11"/>
      <c r="R44" s="7">
        <v>40</v>
      </c>
      <c r="S44" s="10">
        <v>8.6805555555555551E-4</v>
      </c>
      <c r="T44" s="11"/>
      <c r="U44" s="14"/>
      <c r="V44" s="14"/>
      <c r="W44" s="11"/>
      <c r="X44" s="14"/>
      <c r="Y44" s="14"/>
      <c r="Z44" s="11"/>
      <c r="AA44" s="14"/>
      <c r="AB44" s="14"/>
      <c r="AC44" s="11"/>
      <c r="AD44" s="14"/>
      <c r="AE44" s="14"/>
      <c r="AF44" s="11" t="str">
        <f t="shared" si="0"/>
        <v/>
      </c>
      <c r="AG44" s="14"/>
      <c r="AH44" s="14"/>
      <c r="AI44" s="11" t="str">
        <f t="shared" si="1"/>
        <v/>
      </c>
      <c r="AJ44" s="14"/>
      <c r="AK44" s="11" t="str">
        <f t="shared" si="2"/>
        <v/>
      </c>
      <c r="AL44" s="11" t="str">
        <f t="shared" si="3"/>
        <v/>
      </c>
      <c r="AM44" s="11">
        <f t="shared" si="13"/>
        <v>2</v>
      </c>
      <c r="AN44" s="15" t="str">
        <f t="shared" si="4"/>
        <v/>
      </c>
      <c r="AO44" s="15"/>
      <c r="AP44" s="16"/>
      <c r="AQ44" s="21"/>
      <c r="AR44" s="18"/>
      <c r="AS44" s="18"/>
      <c r="AW44" s="60"/>
      <c r="BA44" s="18">
        <v>0.42986111111111103</v>
      </c>
      <c r="BB44" s="18">
        <v>0.43402777777777801</v>
      </c>
      <c r="BC44" s="60">
        <f t="shared" si="14"/>
        <v>1.0416666666665964E-2</v>
      </c>
      <c r="BG44" s="58">
        <v>0.34583333333333333</v>
      </c>
      <c r="BH44" s="58">
        <v>0.34930555555555554</v>
      </c>
      <c r="BI44" s="10">
        <f t="shared" si="15"/>
        <v>2.2222222222222254E-2</v>
      </c>
      <c r="BJ44" s="60">
        <f t="shared" si="9"/>
        <v>3.4722222222222099E-3</v>
      </c>
    </row>
    <row r="45" spans="1:62" s="17" customFormat="1" x14ac:dyDescent="0.3">
      <c r="A45" s="23">
        <v>43</v>
      </c>
      <c r="B45" s="7"/>
      <c r="C45" s="7">
        <v>43</v>
      </c>
      <c r="D45" s="14"/>
      <c r="E45" s="11"/>
      <c r="F45" s="14"/>
      <c r="G45" s="14"/>
      <c r="H45" s="11"/>
      <c r="I45" s="7"/>
      <c r="J45" s="14"/>
      <c r="K45" s="11"/>
      <c r="L45" s="7">
        <v>41</v>
      </c>
      <c r="M45" s="14"/>
      <c r="N45" s="11"/>
      <c r="O45" s="7">
        <v>41</v>
      </c>
      <c r="P45" s="10">
        <v>4.2824074074074075E-4</v>
      </c>
      <c r="Q45" s="11"/>
      <c r="R45" s="7">
        <v>41</v>
      </c>
      <c r="S45" s="10">
        <v>9.0277777777777774E-4</v>
      </c>
      <c r="T45" s="11"/>
      <c r="U45" s="14"/>
      <c r="V45" s="14"/>
      <c r="W45" s="11"/>
      <c r="X45" s="14"/>
      <c r="Y45" s="14"/>
      <c r="Z45" s="11"/>
      <c r="AA45" s="14"/>
      <c r="AB45" s="14"/>
      <c r="AC45" s="11"/>
      <c r="AD45" s="14"/>
      <c r="AE45" s="14"/>
      <c r="AF45" s="11" t="str">
        <f t="shared" si="0"/>
        <v/>
      </c>
      <c r="AG45" s="14"/>
      <c r="AH45" s="14"/>
      <c r="AI45" s="11" t="str">
        <f t="shared" si="1"/>
        <v/>
      </c>
      <c r="AJ45" s="14"/>
      <c r="AK45" s="11" t="str">
        <f t="shared" si="2"/>
        <v/>
      </c>
      <c r="AL45" s="11" t="str">
        <f t="shared" si="3"/>
        <v/>
      </c>
      <c r="AM45" s="11">
        <f t="shared" si="13"/>
        <v>1.9</v>
      </c>
      <c r="AN45" s="15" t="str">
        <f t="shared" si="4"/>
        <v/>
      </c>
      <c r="AO45" s="15"/>
      <c r="AP45" s="16"/>
      <c r="AQ45" s="21"/>
      <c r="AR45" s="18"/>
      <c r="AS45" s="18"/>
      <c r="AW45" s="60"/>
      <c r="BA45" s="18">
        <v>0.47222222222222199</v>
      </c>
      <c r="BB45" s="18">
        <v>0.47638888888888897</v>
      </c>
      <c r="BC45" s="60">
        <f t="shared" si="14"/>
        <v>6.9444444444449749E-3</v>
      </c>
      <c r="BG45" s="58">
        <v>0.37152777777777779</v>
      </c>
      <c r="BH45" s="58">
        <v>0.37361111111111112</v>
      </c>
      <c r="BI45" s="10" t="s">
        <v>77</v>
      </c>
      <c r="BJ45" s="60">
        <f t="shared" si="9"/>
        <v>2.0833333333333259E-3</v>
      </c>
    </row>
    <row r="46" spans="1:62" s="17" customFormat="1" x14ac:dyDescent="0.3">
      <c r="A46" s="23">
        <v>44</v>
      </c>
      <c r="B46" s="7"/>
      <c r="C46" s="14"/>
      <c r="D46" s="14"/>
      <c r="E46" s="11"/>
      <c r="F46" s="14"/>
      <c r="G46" s="14"/>
      <c r="H46" s="11"/>
      <c r="I46" s="7"/>
      <c r="J46" s="14"/>
      <c r="K46" s="11"/>
      <c r="L46" s="7">
        <v>42</v>
      </c>
      <c r="M46" s="14"/>
      <c r="N46" s="11"/>
      <c r="O46" s="7">
        <v>42</v>
      </c>
      <c r="P46" s="10">
        <v>1.4120370370370369E-3</v>
      </c>
      <c r="Q46" s="11"/>
      <c r="R46" s="7">
        <v>42</v>
      </c>
      <c r="S46" s="10"/>
      <c r="T46" s="11"/>
      <c r="U46" s="14"/>
      <c r="V46" s="14"/>
      <c r="W46" s="11"/>
      <c r="X46" s="14"/>
      <c r="Y46" s="14"/>
      <c r="Z46" s="11"/>
      <c r="AA46" s="14"/>
      <c r="AB46" s="14"/>
      <c r="AC46" s="11"/>
      <c r="AD46" s="14"/>
      <c r="AE46" s="14"/>
      <c r="AF46" s="11" t="str">
        <f t="shared" si="0"/>
        <v/>
      </c>
      <c r="AG46" s="14"/>
      <c r="AH46" s="14"/>
      <c r="AI46" s="11" t="str">
        <f t="shared" si="1"/>
        <v/>
      </c>
      <c r="AJ46" s="14"/>
      <c r="AK46" s="11" t="str">
        <f t="shared" si="2"/>
        <v/>
      </c>
      <c r="AL46" s="11" t="str">
        <f t="shared" si="3"/>
        <v/>
      </c>
      <c r="AM46" s="11">
        <f t="shared" ref="AM46:AM59" si="16">IF(COUNT(D46,G46,J46,M46,P46,S46,V46,Y46,AF46,AI46,AT46,AW46,AZ46,BC46,BF15)=0,"",ROUND(N(D46)*1440+N(G46)*1440+N(J46)*1440+N(M46)*1440+N(P46)*1440+N(S46)*1440+N(V46)*1440+N(Y46)*1440+N(AF46)+N(AI46)+N(AT46)+N(AW46)+N(AZ46)+N(BC46)+N(BF15),1))</f>
        <v>2</v>
      </c>
      <c r="AN46" s="15" t="str">
        <f t="shared" si="4"/>
        <v/>
      </c>
      <c r="AO46" s="15"/>
      <c r="AP46" s="16"/>
      <c r="AQ46" s="21"/>
      <c r="AR46" s="18"/>
      <c r="AS46" s="18"/>
      <c r="AW46" s="60"/>
      <c r="BA46" s="18">
        <v>0.45</v>
      </c>
      <c r="BB46" s="18">
        <v>0.45833333333333298</v>
      </c>
      <c r="BC46" s="60">
        <f t="shared" si="14"/>
        <v>7.6388888888889728E-3</v>
      </c>
      <c r="BG46" s="58">
        <v>0.55833333333333335</v>
      </c>
      <c r="BH46" s="58">
        <v>0.56319444444444444</v>
      </c>
      <c r="BI46" s="10">
        <f t="shared" si="15"/>
        <v>0</v>
      </c>
      <c r="BJ46" s="60">
        <f t="shared" si="9"/>
        <v>4.8611111111110938E-3</v>
      </c>
    </row>
    <row r="47" spans="1:62" s="17" customFormat="1" x14ac:dyDescent="0.3">
      <c r="A47" s="23">
        <v>45</v>
      </c>
      <c r="B47" s="7"/>
      <c r="C47" s="14"/>
      <c r="D47" s="14"/>
      <c r="E47" s="11"/>
      <c r="F47" s="14"/>
      <c r="G47" s="14"/>
      <c r="H47" s="11"/>
      <c r="I47" s="7"/>
      <c r="J47" s="14"/>
      <c r="K47" s="11"/>
      <c r="L47" s="7">
        <v>43</v>
      </c>
      <c r="M47" s="14"/>
      <c r="N47" s="11"/>
      <c r="O47" s="7">
        <v>43</v>
      </c>
      <c r="P47" s="10">
        <v>6.3657407407407413E-4</v>
      </c>
      <c r="Q47" s="11"/>
      <c r="R47" s="7">
        <v>43</v>
      </c>
      <c r="S47" s="10"/>
      <c r="T47" s="11"/>
      <c r="U47" s="14"/>
      <c r="V47" s="14"/>
      <c r="W47" s="11"/>
      <c r="X47" s="14"/>
      <c r="Y47" s="14"/>
      <c r="Z47" s="11"/>
      <c r="AA47" s="14"/>
      <c r="AB47" s="14"/>
      <c r="AC47" s="11"/>
      <c r="AD47" s="14"/>
      <c r="AE47" s="14"/>
      <c r="AF47" s="11" t="str">
        <f t="shared" si="0"/>
        <v/>
      </c>
      <c r="AG47" s="14"/>
      <c r="AH47" s="14"/>
      <c r="AI47" s="11" t="str">
        <f t="shared" si="1"/>
        <v/>
      </c>
      <c r="AJ47" s="14"/>
      <c r="AK47" s="11" t="str">
        <f t="shared" si="2"/>
        <v/>
      </c>
      <c r="AL47" s="11" t="str">
        <f t="shared" si="3"/>
        <v/>
      </c>
      <c r="AM47" s="11">
        <f t="shared" si="16"/>
        <v>0.9</v>
      </c>
      <c r="AN47" s="15" t="str">
        <f t="shared" si="4"/>
        <v/>
      </c>
      <c r="AO47" s="15"/>
      <c r="AP47" s="16"/>
      <c r="AQ47" s="21"/>
      <c r="AR47" s="18"/>
      <c r="AS47" s="18"/>
      <c r="AW47" s="60"/>
      <c r="BA47" s="18">
        <v>0.48611111111111099</v>
      </c>
      <c r="BB47" s="18">
        <v>0.49722222222222201</v>
      </c>
      <c r="BC47" s="60">
        <f t="shared" si="14"/>
        <v>1.1111111111112015E-2</v>
      </c>
      <c r="BG47" s="58">
        <v>0.56319444444444444</v>
      </c>
      <c r="BH47" s="58">
        <v>0.56805555555555554</v>
      </c>
      <c r="BI47" s="10">
        <f t="shared" si="15"/>
        <v>0</v>
      </c>
      <c r="BJ47" s="60">
        <f t="shared" si="9"/>
        <v>4.8611111111110938E-3</v>
      </c>
    </row>
    <row r="48" spans="1:62" s="17" customFormat="1" x14ac:dyDescent="0.3">
      <c r="A48" s="23">
        <v>46</v>
      </c>
      <c r="B48" s="7"/>
      <c r="C48" s="14"/>
      <c r="D48" s="14"/>
      <c r="E48" s="11"/>
      <c r="F48" s="14"/>
      <c r="G48" s="14"/>
      <c r="H48" s="11"/>
      <c r="I48" s="7"/>
      <c r="J48" s="14"/>
      <c r="K48" s="11"/>
      <c r="L48" s="7">
        <v>44</v>
      </c>
      <c r="M48" s="14"/>
      <c r="N48" s="11"/>
      <c r="O48" s="7">
        <v>44</v>
      </c>
      <c r="P48" s="10">
        <v>1.2152777777777778E-3</v>
      </c>
      <c r="Q48" s="11"/>
      <c r="R48" s="7">
        <v>44</v>
      </c>
      <c r="S48" s="10"/>
      <c r="T48" s="11"/>
      <c r="U48" s="14"/>
      <c r="V48" s="14"/>
      <c r="W48" s="11"/>
      <c r="X48" s="14"/>
      <c r="Y48" s="14"/>
      <c r="Z48" s="11"/>
      <c r="AA48" s="14"/>
      <c r="AB48" s="14"/>
      <c r="AC48" s="11"/>
      <c r="AD48" s="14"/>
      <c r="AE48" s="14"/>
      <c r="AF48" s="11" t="str">
        <f t="shared" si="0"/>
        <v/>
      </c>
      <c r="AG48" s="14"/>
      <c r="AH48" s="14"/>
      <c r="AI48" s="11" t="str">
        <f t="shared" si="1"/>
        <v/>
      </c>
      <c r="AJ48" s="14"/>
      <c r="AK48" s="11" t="str">
        <f t="shared" si="2"/>
        <v/>
      </c>
      <c r="AL48" s="11" t="str">
        <f t="shared" si="3"/>
        <v/>
      </c>
      <c r="AM48" s="11">
        <f t="shared" si="16"/>
        <v>1.8</v>
      </c>
      <c r="AN48" s="15" t="str">
        <f t="shared" si="4"/>
        <v/>
      </c>
      <c r="AO48" s="15"/>
      <c r="AP48" s="16"/>
      <c r="AQ48" s="21"/>
      <c r="AR48" s="18"/>
      <c r="AS48" s="18"/>
      <c r="AW48" s="60"/>
      <c r="BA48" s="18">
        <v>0.42708333333333298</v>
      </c>
      <c r="BB48" s="18">
        <v>0.43402777777777801</v>
      </c>
      <c r="BC48" s="60">
        <f t="shared" si="14"/>
        <v>1.1805555555555958E-2</v>
      </c>
      <c r="BG48" s="58">
        <v>0.56805555555555554</v>
      </c>
      <c r="BH48" s="58">
        <v>0.57291666666666663</v>
      </c>
      <c r="BI48" s="10">
        <f t="shared" si="15"/>
        <v>6.9444444444444198E-4</v>
      </c>
      <c r="BJ48" s="60">
        <f t="shared" si="9"/>
        <v>4.8611111111110938E-3</v>
      </c>
    </row>
    <row r="49" spans="1:62" s="17" customFormat="1" x14ac:dyDescent="0.3">
      <c r="A49" s="23">
        <v>47</v>
      </c>
      <c r="B49" s="7"/>
      <c r="C49" s="14"/>
      <c r="D49" s="14"/>
      <c r="E49" s="11"/>
      <c r="F49" s="14"/>
      <c r="G49" s="14"/>
      <c r="H49" s="11"/>
      <c r="I49" s="7"/>
      <c r="J49" s="14"/>
      <c r="K49" s="11"/>
      <c r="L49" s="7">
        <v>45</v>
      </c>
      <c r="M49" s="14"/>
      <c r="N49" s="11"/>
      <c r="O49" s="7">
        <v>45</v>
      </c>
      <c r="P49" s="10">
        <v>7.8703703703703705E-4</v>
      </c>
      <c r="Q49" s="11"/>
      <c r="R49" s="7">
        <v>45</v>
      </c>
      <c r="S49" s="10"/>
      <c r="T49" s="11"/>
      <c r="U49" s="14"/>
      <c r="V49" s="14"/>
      <c r="W49" s="11"/>
      <c r="X49" s="14"/>
      <c r="Y49" s="14"/>
      <c r="Z49" s="11"/>
      <c r="AA49" s="14"/>
      <c r="AB49" s="14"/>
      <c r="AC49" s="11"/>
      <c r="AD49" s="14"/>
      <c r="AE49" s="14"/>
      <c r="AF49" s="11" t="str">
        <f t="shared" si="0"/>
        <v/>
      </c>
      <c r="AG49" s="14"/>
      <c r="AH49" s="14"/>
      <c r="AI49" s="11" t="str">
        <f t="shared" si="1"/>
        <v/>
      </c>
      <c r="AJ49" s="14"/>
      <c r="AK49" s="11" t="str">
        <f t="shared" si="2"/>
        <v/>
      </c>
      <c r="AL49" s="11" t="str">
        <f t="shared" si="3"/>
        <v/>
      </c>
      <c r="AM49" s="11">
        <f t="shared" si="16"/>
        <v>1.1000000000000001</v>
      </c>
      <c r="AN49" s="15" t="str">
        <f t="shared" si="4"/>
        <v/>
      </c>
      <c r="AO49" s="15"/>
      <c r="AP49" s="16"/>
      <c r="AQ49" s="21"/>
      <c r="AR49" s="18"/>
      <c r="AS49" s="18"/>
      <c r="AW49" s="60"/>
      <c r="BA49" s="18">
        <v>0.47222222222222199</v>
      </c>
      <c r="BB49" s="18">
        <v>0.47638888888888897</v>
      </c>
      <c r="BC49" s="60">
        <f t="shared" si="14"/>
        <v>8.3333333333329707E-3</v>
      </c>
      <c r="BG49" s="58">
        <v>0.57361111111111107</v>
      </c>
      <c r="BH49" s="58">
        <v>0.57499999999999996</v>
      </c>
      <c r="BI49" s="10">
        <f t="shared" si="15"/>
        <v>1.388888888888884E-3</v>
      </c>
      <c r="BJ49" s="60">
        <f t="shared" si="9"/>
        <v>1.388888888888884E-3</v>
      </c>
    </row>
    <row r="50" spans="1:62" s="17" customFormat="1" x14ac:dyDescent="0.3">
      <c r="A50" s="23">
        <v>48</v>
      </c>
      <c r="B50" s="7"/>
      <c r="C50" s="14"/>
      <c r="D50" s="14"/>
      <c r="E50" s="11"/>
      <c r="F50" s="14"/>
      <c r="G50" s="14"/>
      <c r="H50" s="11"/>
      <c r="I50" s="7"/>
      <c r="J50" s="14"/>
      <c r="K50" s="11"/>
      <c r="L50" s="7">
        <v>46</v>
      </c>
      <c r="M50" s="14"/>
      <c r="N50" s="11"/>
      <c r="O50" s="7">
        <v>46</v>
      </c>
      <c r="P50" s="14"/>
      <c r="Q50" s="11"/>
      <c r="R50" s="7">
        <v>46</v>
      </c>
      <c r="S50" s="10"/>
      <c r="T50" s="11"/>
      <c r="U50" s="14"/>
      <c r="V50" s="14"/>
      <c r="W50" s="11"/>
      <c r="X50" s="14"/>
      <c r="Y50" s="14"/>
      <c r="Z50" s="11"/>
      <c r="AA50" s="14"/>
      <c r="AB50" s="14"/>
      <c r="AC50" s="11"/>
      <c r="AD50" s="14"/>
      <c r="AE50" s="14"/>
      <c r="AF50" s="11" t="str">
        <f t="shared" si="0"/>
        <v/>
      </c>
      <c r="AG50" s="14"/>
      <c r="AH50" s="14"/>
      <c r="AI50" s="11" t="str">
        <f t="shared" si="1"/>
        <v/>
      </c>
      <c r="AJ50" s="14"/>
      <c r="AK50" s="11" t="str">
        <f t="shared" si="2"/>
        <v/>
      </c>
      <c r="AL50" s="11" t="str">
        <f t="shared" si="3"/>
        <v/>
      </c>
      <c r="AM50" s="11">
        <f t="shared" si="16"/>
        <v>0</v>
      </c>
      <c r="AN50" s="15" t="str">
        <f t="shared" si="4"/>
        <v/>
      </c>
      <c r="AO50" s="15"/>
      <c r="AP50" s="16"/>
      <c r="AQ50" s="21"/>
      <c r="AR50" s="18"/>
      <c r="AS50" s="18"/>
      <c r="AW50" s="60"/>
      <c r="BA50" s="18">
        <v>0.45</v>
      </c>
      <c r="BB50" s="18">
        <v>0.45833333333333298</v>
      </c>
      <c r="BC50" s="60">
        <f t="shared" si="14"/>
        <v>7.6388888888890838E-3</v>
      </c>
      <c r="BG50" s="58">
        <v>0.57638888888888884</v>
      </c>
      <c r="BH50" s="58">
        <v>0.58333333333333337</v>
      </c>
      <c r="BI50" s="10">
        <f t="shared" si="15"/>
        <v>6.9444444444444198E-4</v>
      </c>
      <c r="BJ50" s="60">
        <f t="shared" si="9"/>
        <v>6.9444444444445308E-3</v>
      </c>
    </row>
    <row r="51" spans="1:62" s="17" customFormat="1" x14ac:dyDescent="0.3">
      <c r="A51" s="23">
        <v>49</v>
      </c>
      <c r="B51" s="7"/>
      <c r="C51" s="14"/>
      <c r="D51" s="14"/>
      <c r="E51" s="11"/>
      <c r="F51" s="14"/>
      <c r="G51" s="14"/>
      <c r="H51" s="11"/>
      <c r="I51" s="7"/>
      <c r="J51" s="14"/>
      <c r="K51" s="11"/>
      <c r="L51" s="7">
        <v>47</v>
      </c>
      <c r="M51" s="14"/>
      <c r="N51" s="11"/>
      <c r="O51" s="7">
        <v>47</v>
      </c>
      <c r="P51" s="14"/>
      <c r="Q51" s="11"/>
      <c r="R51" s="7">
        <v>47</v>
      </c>
      <c r="S51" s="10"/>
      <c r="T51" s="11"/>
      <c r="U51" s="14"/>
      <c r="V51" s="14"/>
      <c r="W51" s="11"/>
      <c r="X51" s="14"/>
      <c r="Y51" s="14"/>
      <c r="Z51" s="11"/>
      <c r="AA51" s="14"/>
      <c r="AB51" s="14"/>
      <c r="AC51" s="11"/>
      <c r="AD51" s="14"/>
      <c r="AE51" s="14"/>
      <c r="AF51" s="11" t="str">
        <f t="shared" si="0"/>
        <v/>
      </c>
      <c r="AG51" s="14"/>
      <c r="AH51" s="14"/>
      <c r="AI51" s="11" t="str">
        <f t="shared" si="1"/>
        <v/>
      </c>
      <c r="AJ51" s="14"/>
      <c r="AK51" s="11" t="str">
        <f t="shared" si="2"/>
        <v/>
      </c>
      <c r="AL51" s="11" t="str">
        <f t="shared" si="3"/>
        <v/>
      </c>
      <c r="AM51" s="11">
        <f t="shared" si="16"/>
        <v>0</v>
      </c>
      <c r="AN51" s="15" t="str">
        <f t="shared" si="4"/>
        <v/>
      </c>
      <c r="AO51" s="15"/>
      <c r="AP51" s="16"/>
      <c r="AQ51" s="21"/>
      <c r="AR51" s="18"/>
      <c r="AS51" s="18"/>
      <c r="AW51" s="60"/>
      <c r="BA51" s="18">
        <v>0.48263888888888901</v>
      </c>
      <c r="BB51" s="18">
        <v>0.48958333333333298</v>
      </c>
      <c r="BC51" s="60">
        <f t="shared" si="14"/>
        <v>6.9444444444439757E-3</v>
      </c>
      <c r="BG51" s="58">
        <v>0.58402777777777781</v>
      </c>
      <c r="BH51" s="58">
        <v>0.58888888888888891</v>
      </c>
      <c r="BI51" s="10">
        <f t="shared" si="15"/>
        <v>6.9444444444444198E-4</v>
      </c>
      <c r="BJ51" s="60">
        <f t="shared" si="9"/>
        <v>4.8611111111110938E-3</v>
      </c>
    </row>
    <row r="52" spans="1:62" s="17" customFormat="1" x14ac:dyDescent="0.3">
      <c r="A52" s="23">
        <v>50</v>
      </c>
      <c r="B52" s="7"/>
      <c r="C52" s="14"/>
      <c r="D52" s="14"/>
      <c r="E52" s="11"/>
      <c r="F52" s="14"/>
      <c r="G52" s="14"/>
      <c r="H52" s="11"/>
      <c r="I52" s="7"/>
      <c r="J52" s="14"/>
      <c r="K52" s="11"/>
      <c r="L52" s="7">
        <v>48</v>
      </c>
      <c r="M52" s="14"/>
      <c r="N52" s="11"/>
      <c r="O52" s="7">
        <v>48</v>
      </c>
      <c r="P52" s="14"/>
      <c r="Q52" s="11"/>
      <c r="R52" s="7">
        <v>48</v>
      </c>
      <c r="S52" s="10"/>
      <c r="T52" s="11"/>
      <c r="U52" s="14"/>
      <c r="V52" s="14"/>
      <c r="W52" s="11"/>
      <c r="X52" s="14"/>
      <c r="Y52" s="14"/>
      <c r="Z52" s="11"/>
      <c r="AA52" s="14"/>
      <c r="AB52" s="14"/>
      <c r="AC52" s="11"/>
      <c r="AD52" s="14"/>
      <c r="AE52" s="14"/>
      <c r="AF52" s="11" t="str">
        <f t="shared" si="0"/>
        <v/>
      </c>
      <c r="AG52" s="14"/>
      <c r="AH52" s="14"/>
      <c r="AI52" s="11" t="str">
        <f t="shared" si="1"/>
        <v/>
      </c>
      <c r="AJ52" s="14"/>
      <c r="AK52" s="11" t="str">
        <f t="shared" si="2"/>
        <v/>
      </c>
      <c r="AL52" s="11" t="str">
        <f t="shared" si="3"/>
        <v/>
      </c>
      <c r="AM52" s="11">
        <f t="shared" si="16"/>
        <v>0</v>
      </c>
      <c r="AN52" s="15" t="str">
        <f t="shared" si="4"/>
        <v/>
      </c>
      <c r="AO52" s="15"/>
      <c r="AP52" s="16"/>
      <c r="AQ52" s="21"/>
      <c r="AR52" s="18"/>
      <c r="AS52" s="18"/>
      <c r="AW52" s="60"/>
      <c r="BA52" s="18">
        <v>0.48611111111111099</v>
      </c>
      <c r="BB52" s="18">
        <v>0.49722222222222201</v>
      </c>
      <c r="BC52" s="60">
        <f t="shared" si="14"/>
        <v>8.3333333333329707E-3</v>
      </c>
      <c r="BG52" s="58">
        <v>0.58958333333333335</v>
      </c>
      <c r="BH52" s="58">
        <v>0.59236111111111112</v>
      </c>
      <c r="BI52" s="10" t="s">
        <v>77</v>
      </c>
      <c r="BJ52" s="60">
        <f t="shared" si="9"/>
        <v>2.7777777777777679E-3</v>
      </c>
    </row>
    <row r="53" spans="1:62" s="17" customFormat="1" ht="26.4" x14ac:dyDescent="0.3">
      <c r="A53" s="23">
        <v>51</v>
      </c>
      <c r="B53" s="7"/>
      <c r="C53" s="14"/>
      <c r="D53" s="14"/>
      <c r="E53" s="11"/>
      <c r="F53" s="14"/>
      <c r="G53" s="14"/>
      <c r="H53" s="11"/>
      <c r="I53" s="7"/>
      <c r="J53" s="14"/>
      <c r="K53" s="11"/>
      <c r="L53" s="7">
        <v>49</v>
      </c>
      <c r="M53" s="14"/>
      <c r="N53" s="11"/>
      <c r="O53" s="7">
        <v>49</v>
      </c>
      <c r="P53" s="14"/>
      <c r="Q53" s="11"/>
      <c r="R53" s="7">
        <v>49</v>
      </c>
      <c r="S53" s="10"/>
      <c r="T53" s="11"/>
      <c r="U53" s="14"/>
      <c r="V53" s="14"/>
      <c r="W53" s="11"/>
      <c r="X53" s="14"/>
      <c r="Y53" s="14"/>
      <c r="Z53" s="11"/>
      <c r="AA53" s="14"/>
      <c r="AB53" s="14"/>
      <c r="AC53" s="11"/>
      <c r="AD53" s="14"/>
      <c r="AE53" s="14"/>
      <c r="AF53" s="11" t="str">
        <f t="shared" si="0"/>
        <v/>
      </c>
      <c r="AG53" s="14"/>
      <c r="AH53" s="14"/>
      <c r="AI53" s="11" t="str">
        <f t="shared" si="1"/>
        <v/>
      </c>
      <c r="AJ53" s="14"/>
      <c r="AK53" s="11" t="str">
        <f t="shared" si="2"/>
        <v/>
      </c>
      <c r="AL53" s="11" t="str">
        <f t="shared" si="3"/>
        <v/>
      </c>
      <c r="AM53" s="11">
        <f t="shared" si="16"/>
        <v>0</v>
      </c>
      <c r="AN53" s="15" t="str">
        <f t="shared" si="4"/>
        <v/>
      </c>
      <c r="AO53" s="15"/>
      <c r="AP53" s="16" t="s">
        <v>75</v>
      </c>
      <c r="AQ53" s="21"/>
      <c r="AR53" s="18"/>
      <c r="AS53" s="18"/>
      <c r="AW53" s="60"/>
      <c r="BA53" s="18">
        <v>0.51249999999999996</v>
      </c>
      <c r="BB53" s="18">
        <v>0.52500000000000002</v>
      </c>
      <c r="BC53" s="60">
        <f t="shared" si="14"/>
        <v>4.8611111111109828E-3</v>
      </c>
      <c r="BG53" s="58">
        <v>0.59097222222222223</v>
      </c>
      <c r="BH53" s="58">
        <v>0.59375</v>
      </c>
      <c r="BI53" s="10">
        <f t="shared" si="15"/>
        <v>1.041666666666663E-2</v>
      </c>
      <c r="BJ53" s="60">
        <f t="shared" si="9"/>
        <v>2.7777777777777679E-3</v>
      </c>
    </row>
    <row r="54" spans="1:62" s="17" customFormat="1" x14ac:dyDescent="0.3">
      <c r="A54" s="23">
        <v>34</v>
      </c>
      <c r="B54" s="7"/>
      <c r="C54" s="14"/>
      <c r="D54" s="14"/>
      <c r="E54" s="11"/>
      <c r="F54" s="14"/>
      <c r="G54" s="14"/>
      <c r="H54" s="11"/>
      <c r="I54" s="7"/>
      <c r="J54" s="14"/>
      <c r="K54" s="11"/>
      <c r="L54" s="7">
        <v>50</v>
      </c>
      <c r="M54" s="14"/>
      <c r="N54" s="11"/>
      <c r="O54" s="7">
        <v>50</v>
      </c>
      <c r="P54" s="14"/>
      <c r="Q54" s="11"/>
      <c r="R54" s="7">
        <v>50</v>
      </c>
      <c r="S54" s="10"/>
      <c r="T54" s="11"/>
      <c r="U54" s="14"/>
      <c r="V54" s="14"/>
      <c r="W54" s="11"/>
      <c r="X54" s="14"/>
      <c r="Y54" s="14">
        <f>AVERAGE(Y5:Y53)</f>
        <v>1.190972222222224E-2</v>
      </c>
      <c r="Z54" s="11"/>
      <c r="AA54" s="14"/>
      <c r="AB54" s="14"/>
      <c r="AC54" s="11"/>
      <c r="AD54" s="14"/>
      <c r="AE54" s="14"/>
      <c r="AF54" s="11" t="str">
        <f t="shared" si="0"/>
        <v/>
      </c>
      <c r="AG54" s="14"/>
      <c r="AH54" s="14"/>
      <c r="AI54" s="11" t="str">
        <f t="shared" si="1"/>
        <v/>
      </c>
      <c r="AJ54" s="14"/>
      <c r="AK54" s="11" t="str">
        <f t="shared" si="2"/>
        <v/>
      </c>
      <c r="AL54" s="11" t="str">
        <f t="shared" si="3"/>
        <v/>
      </c>
      <c r="AM54" s="11">
        <f t="shared" si="16"/>
        <v>17.2</v>
      </c>
      <c r="AN54" s="15" t="str">
        <f t="shared" si="4"/>
        <v/>
      </c>
      <c r="AO54" s="15"/>
      <c r="AP54" s="16"/>
      <c r="AQ54" s="21"/>
      <c r="AR54" s="18"/>
      <c r="AS54" s="18"/>
      <c r="AW54" s="60"/>
      <c r="BA54" s="18">
        <v>0.52638888888888902</v>
      </c>
      <c r="BB54" s="18">
        <v>0.53333333333333299</v>
      </c>
      <c r="BC54" s="60">
        <f t="shared" si="14"/>
        <v>9.0277777777779677E-3</v>
      </c>
      <c r="BG54" s="58">
        <v>0.60416666666666663</v>
      </c>
      <c r="BH54" s="58">
        <v>0.60486111111111107</v>
      </c>
      <c r="BI54" s="10">
        <f t="shared" si="15"/>
        <v>2.0833333333333259E-3</v>
      </c>
      <c r="BJ54" s="60">
        <f t="shared" si="9"/>
        <v>6.9444444444444198E-4</v>
      </c>
    </row>
    <row r="55" spans="1:62" s="17" customFormat="1" x14ac:dyDescent="0.3">
      <c r="A55" s="23">
        <v>53</v>
      </c>
      <c r="B55" s="7"/>
      <c r="C55" s="14"/>
      <c r="D55" s="14"/>
      <c r="E55" s="11"/>
      <c r="F55" s="14"/>
      <c r="G55" s="14"/>
      <c r="H55" s="11"/>
      <c r="I55" s="7"/>
      <c r="J55" s="14"/>
      <c r="K55" s="11"/>
      <c r="L55" s="7">
        <v>51</v>
      </c>
      <c r="M55" s="14"/>
      <c r="N55" s="11"/>
      <c r="O55" s="7">
        <v>51</v>
      </c>
      <c r="P55" s="14"/>
      <c r="Q55" s="11"/>
      <c r="R55" s="7">
        <v>51</v>
      </c>
      <c r="S55" s="10"/>
      <c r="T55" s="11"/>
      <c r="U55" s="14"/>
      <c r="V55" s="14"/>
      <c r="W55" s="11"/>
      <c r="X55" s="14"/>
      <c r="Y55" s="14"/>
      <c r="Z55" s="11"/>
      <c r="AA55" s="14"/>
      <c r="AB55" s="14"/>
      <c r="AC55" s="11"/>
      <c r="AD55" s="14"/>
      <c r="AE55" s="14"/>
      <c r="AF55" s="11" t="str">
        <f t="shared" si="0"/>
        <v/>
      </c>
      <c r="AG55" s="14"/>
      <c r="AH55" s="14"/>
      <c r="AI55" s="11" t="str">
        <f t="shared" si="1"/>
        <v/>
      </c>
      <c r="AJ55" s="14"/>
      <c r="AK55" s="11" t="str">
        <f t="shared" si="2"/>
        <v/>
      </c>
      <c r="AL55" s="11" t="str">
        <f t="shared" si="3"/>
        <v/>
      </c>
      <c r="AM55" s="11">
        <f t="shared" si="16"/>
        <v>0</v>
      </c>
      <c r="AN55" s="15" t="str">
        <f t="shared" si="4"/>
        <v/>
      </c>
      <c r="AO55" s="15"/>
      <c r="AP55" s="16"/>
      <c r="AQ55" s="21"/>
      <c r="AR55" s="18"/>
      <c r="AS55" s="18"/>
      <c r="AW55" s="60"/>
      <c r="BA55" s="32">
        <v>0.52986111111111112</v>
      </c>
      <c r="BB55" s="32">
        <v>0.53611111111111109</v>
      </c>
      <c r="BC55" s="60">
        <f>BB55-BA55</f>
        <v>6.2499999999999778E-3</v>
      </c>
      <c r="BG55" s="58">
        <v>0.6069444444444444</v>
      </c>
      <c r="BH55" s="58">
        <v>0.61111111111111116</v>
      </c>
      <c r="BI55" s="10">
        <f t="shared" si="15"/>
        <v>1.388888888888884E-3</v>
      </c>
      <c r="BJ55" s="60">
        <f t="shared" si="9"/>
        <v>4.1666666666667629E-3</v>
      </c>
    </row>
    <row r="56" spans="1:62" s="17" customFormat="1" x14ac:dyDescent="0.3">
      <c r="A56" s="23">
        <v>54</v>
      </c>
      <c r="B56" s="7"/>
      <c r="C56" s="14"/>
      <c r="D56" s="14"/>
      <c r="E56" s="11"/>
      <c r="F56" s="14"/>
      <c r="G56" s="14"/>
      <c r="H56" s="11"/>
      <c r="I56" s="7"/>
      <c r="J56" s="14"/>
      <c r="K56" s="11"/>
      <c r="L56" s="7">
        <v>52</v>
      </c>
      <c r="M56" s="14"/>
      <c r="N56" s="11"/>
      <c r="O56" s="7">
        <v>52</v>
      </c>
      <c r="P56" s="14"/>
      <c r="Q56" s="11"/>
      <c r="R56" s="7">
        <v>52</v>
      </c>
      <c r="S56" s="10"/>
      <c r="T56" s="11"/>
      <c r="U56" s="14"/>
      <c r="V56" s="14"/>
      <c r="W56" s="11"/>
      <c r="X56" s="14"/>
      <c r="Y56" s="14"/>
      <c r="Z56" s="11"/>
      <c r="AA56" s="14"/>
      <c r="AB56" s="14"/>
      <c r="AC56" s="11"/>
      <c r="AD56" s="14"/>
      <c r="AE56" s="14"/>
      <c r="AF56" s="11" t="str">
        <f t="shared" si="0"/>
        <v/>
      </c>
      <c r="AG56" s="14"/>
      <c r="AH56" s="14"/>
      <c r="AI56" s="11" t="str">
        <f t="shared" si="1"/>
        <v/>
      </c>
      <c r="AJ56" s="14"/>
      <c r="AK56" s="11" t="str">
        <f t="shared" si="2"/>
        <v/>
      </c>
      <c r="AL56" s="11" t="str">
        <f t="shared" si="3"/>
        <v/>
      </c>
      <c r="AM56" s="11">
        <f t="shared" si="16"/>
        <v>0</v>
      </c>
      <c r="AN56" s="15" t="str">
        <f t="shared" si="4"/>
        <v/>
      </c>
      <c r="AO56" s="15"/>
      <c r="AP56" s="16"/>
      <c r="AQ56" s="21"/>
      <c r="AR56" s="18"/>
      <c r="AS56" s="18"/>
      <c r="AW56" s="60"/>
      <c r="BA56" s="18">
        <v>0.57499999999999996</v>
      </c>
      <c r="BB56" s="18">
        <v>0.57777777777777772</v>
      </c>
      <c r="BC56" s="60">
        <f t="shared" ref="BC56:BC119" si="17">BB56-BA56</f>
        <v>2.7777777777777679E-3</v>
      </c>
      <c r="BG56" s="58">
        <v>0.61250000000000004</v>
      </c>
      <c r="BH56" s="58">
        <v>0.61319444444444449</v>
      </c>
      <c r="BI56" s="10">
        <f t="shared" si="15"/>
        <v>8.3333333333333037E-3</v>
      </c>
      <c r="BJ56" s="60">
        <f t="shared" si="9"/>
        <v>6.9444444444444198E-4</v>
      </c>
    </row>
    <row r="57" spans="1:62" s="17" customFormat="1" x14ac:dyDescent="0.3">
      <c r="A57" s="23">
        <v>55</v>
      </c>
      <c r="B57" s="7"/>
      <c r="C57" s="14"/>
      <c r="D57" s="14"/>
      <c r="E57" s="11"/>
      <c r="F57" s="14"/>
      <c r="G57" s="14"/>
      <c r="H57" s="11"/>
      <c r="I57" s="7"/>
      <c r="J57" s="14"/>
      <c r="K57" s="11"/>
      <c r="L57" s="7">
        <v>53</v>
      </c>
      <c r="M57" s="14"/>
      <c r="N57" s="11"/>
      <c r="O57" s="7">
        <v>53</v>
      </c>
      <c r="P57" s="14"/>
      <c r="Q57" s="11"/>
      <c r="R57" s="7">
        <v>53</v>
      </c>
      <c r="S57" s="10"/>
      <c r="T57" s="11"/>
      <c r="U57" s="14"/>
      <c r="V57" s="14"/>
      <c r="W57" s="11"/>
      <c r="X57" s="14"/>
      <c r="Y57" s="14"/>
      <c r="Z57" s="11"/>
      <c r="AA57" s="14"/>
      <c r="AB57" s="14"/>
      <c r="AC57" s="11"/>
      <c r="AD57" s="14"/>
      <c r="AE57" s="14"/>
      <c r="AF57" s="11" t="str">
        <f t="shared" si="0"/>
        <v/>
      </c>
      <c r="AG57" s="14"/>
      <c r="AH57" s="14"/>
      <c r="AI57" s="11" t="str">
        <f t="shared" si="1"/>
        <v/>
      </c>
      <c r="AJ57" s="14"/>
      <c r="AK57" s="11" t="str">
        <f t="shared" si="2"/>
        <v/>
      </c>
      <c r="AL57" s="11" t="str">
        <f t="shared" si="3"/>
        <v/>
      </c>
      <c r="AM57" s="11">
        <f t="shared" si="16"/>
        <v>0</v>
      </c>
      <c r="AN57" s="15" t="str">
        <f t="shared" si="4"/>
        <v/>
      </c>
      <c r="AO57" s="15"/>
      <c r="AP57" s="16"/>
      <c r="AQ57" s="21"/>
      <c r="AR57" s="18"/>
      <c r="AS57" s="18"/>
      <c r="AW57" s="60"/>
      <c r="BA57" s="18">
        <v>0.55347222222222225</v>
      </c>
      <c r="BB57" s="18">
        <v>0.55763888888888891</v>
      </c>
      <c r="BC57" s="60">
        <f t="shared" si="17"/>
        <v>4.1666666666666519E-3</v>
      </c>
      <c r="BG57" s="58">
        <v>0.62152777777777779</v>
      </c>
      <c r="BH57" s="58">
        <v>0.62222222222222223</v>
      </c>
      <c r="BI57" s="10" t="s">
        <v>77</v>
      </c>
      <c r="BJ57" s="60">
        <f t="shared" si="9"/>
        <v>6.9444444444444198E-4</v>
      </c>
    </row>
    <row r="58" spans="1:62" s="17" customFormat="1" x14ac:dyDescent="0.3">
      <c r="A58" s="23">
        <v>56</v>
      </c>
      <c r="B58" s="7"/>
      <c r="C58" s="14"/>
      <c r="D58" s="14"/>
      <c r="E58" s="11"/>
      <c r="F58" s="14"/>
      <c r="G58" s="14"/>
      <c r="H58" s="11"/>
      <c r="I58" s="7"/>
      <c r="J58" s="14"/>
      <c r="K58" s="11"/>
      <c r="L58" s="7">
        <v>54</v>
      </c>
      <c r="M58" s="14"/>
      <c r="N58" s="11"/>
      <c r="O58" s="7">
        <v>54</v>
      </c>
      <c r="P58" s="14"/>
      <c r="Q58" s="11"/>
      <c r="R58" s="7">
        <v>54</v>
      </c>
      <c r="S58" s="10"/>
      <c r="T58" s="11"/>
      <c r="U58" s="14"/>
      <c r="V58" s="14"/>
      <c r="W58" s="11"/>
      <c r="X58" s="14"/>
      <c r="Y58" s="14"/>
      <c r="Z58" s="11"/>
      <c r="AA58" s="14"/>
      <c r="AB58" s="14"/>
      <c r="AC58" s="11"/>
      <c r="AD58" s="14"/>
      <c r="AE58" s="14"/>
      <c r="AF58" s="11" t="str">
        <f t="shared" si="0"/>
        <v/>
      </c>
      <c r="AG58" s="14"/>
      <c r="AH58" s="14"/>
      <c r="AI58" s="11" t="str">
        <f t="shared" si="1"/>
        <v/>
      </c>
      <c r="AJ58" s="14"/>
      <c r="AK58" s="11" t="str">
        <f t="shared" si="2"/>
        <v/>
      </c>
      <c r="AL58" s="11" t="str">
        <f t="shared" si="3"/>
        <v/>
      </c>
      <c r="AM58" s="11">
        <f t="shared" si="16"/>
        <v>0</v>
      </c>
      <c r="AN58" s="15" t="str">
        <f t="shared" si="4"/>
        <v/>
      </c>
      <c r="AO58" s="15"/>
      <c r="AP58" s="16"/>
      <c r="AQ58" s="21"/>
      <c r="AW58" s="60"/>
      <c r="BA58" s="18">
        <v>0.56458333333333333</v>
      </c>
      <c r="BB58" s="18">
        <v>0.56805555555555554</v>
      </c>
      <c r="BC58" s="60">
        <f t="shared" si="17"/>
        <v>3.4722222222222099E-3</v>
      </c>
      <c r="BG58" s="58"/>
      <c r="BH58" s="58"/>
      <c r="BI58" s="10"/>
      <c r="BJ58" s="60">
        <f t="shared" si="9"/>
        <v>0</v>
      </c>
    </row>
    <row r="59" spans="1:62" s="17" customFormat="1" x14ac:dyDescent="0.3">
      <c r="A59" s="23">
        <v>57</v>
      </c>
      <c r="B59" s="7"/>
      <c r="C59" s="14"/>
      <c r="D59" s="14"/>
      <c r="E59" s="11"/>
      <c r="F59" s="14"/>
      <c r="G59" s="14"/>
      <c r="H59" s="11"/>
      <c r="I59" s="7"/>
      <c r="J59" s="14"/>
      <c r="K59" s="11"/>
      <c r="L59" s="7">
        <v>55</v>
      </c>
      <c r="M59" s="14"/>
      <c r="N59" s="11"/>
      <c r="O59" s="7">
        <v>55</v>
      </c>
      <c r="P59" s="14"/>
      <c r="Q59" s="11"/>
      <c r="R59" s="7">
        <v>55</v>
      </c>
      <c r="S59" s="10"/>
      <c r="T59" s="11"/>
      <c r="U59" s="14"/>
      <c r="V59" s="14"/>
      <c r="W59" s="11"/>
      <c r="X59" s="14"/>
      <c r="Y59" s="14"/>
      <c r="Z59" s="11"/>
      <c r="AA59" s="14"/>
      <c r="AB59" s="14"/>
      <c r="AC59" s="11"/>
      <c r="AD59" s="14"/>
      <c r="AE59" s="14"/>
      <c r="AF59" s="11" t="str">
        <f t="shared" si="0"/>
        <v/>
      </c>
      <c r="AG59" s="14"/>
      <c r="AH59" s="14"/>
      <c r="AI59" s="11" t="str">
        <f t="shared" si="1"/>
        <v/>
      </c>
      <c r="AJ59" s="14"/>
      <c r="AK59" s="11" t="str">
        <f t="shared" si="2"/>
        <v/>
      </c>
      <c r="AL59" s="11" t="str">
        <f t="shared" si="3"/>
        <v/>
      </c>
      <c r="AM59" s="11">
        <f t="shared" si="16"/>
        <v>0</v>
      </c>
      <c r="AN59" s="15" t="str">
        <f t="shared" si="4"/>
        <v/>
      </c>
      <c r="AO59" s="15"/>
      <c r="AP59" s="16"/>
      <c r="AQ59" s="21"/>
      <c r="AW59" s="60"/>
      <c r="BA59" s="18">
        <v>0.54166666666666663</v>
      </c>
      <c r="BB59" s="18">
        <v>0.5493055555555556</v>
      </c>
      <c r="BC59" s="60">
        <f t="shared" si="17"/>
        <v>7.6388888888889728E-3</v>
      </c>
      <c r="BG59" s="58"/>
      <c r="BH59" s="58"/>
      <c r="BI59" s="10"/>
      <c r="BJ59" s="60">
        <f t="shared" si="9"/>
        <v>0</v>
      </c>
    </row>
    <row r="60" spans="1:62" s="17" customFormat="1" x14ac:dyDescent="0.3">
      <c r="A60" s="23">
        <v>58</v>
      </c>
      <c r="B60" s="7"/>
      <c r="C60" s="14"/>
      <c r="D60" s="14"/>
      <c r="E60" s="11"/>
      <c r="F60" s="14"/>
      <c r="G60" s="14"/>
      <c r="H60" s="11"/>
      <c r="I60" s="7"/>
      <c r="J60" s="14"/>
      <c r="K60" s="11"/>
      <c r="L60" s="7">
        <v>56</v>
      </c>
      <c r="M60" s="14"/>
      <c r="N60" s="11"/>
      <c r="O60" s="7">
        <v>56</v>
      </c>
      <c r="P60" s="14"/>
      <c r="Q60" s="11"/>
      <c r="R60" s="7">
        <v>56</v>
      </c>
      <c r="S60" s="10"/>
      <c r="T60" s="11"/>
      <c r="U60" s="14"/>
      <c r="V60" s="14"/>
      <c r="W60" s="11"/>
      <c r="X60" s="14"/>
      <c r="Y60" s="14"/>
      <c r="Z60" s="11"/>
      <c r="AA60" s="14"/>
      <c r="AB60" s="14"/>
      <c r="AC60" s="11"/>
      <c r="AD60" s="14"/>
      <c r="AE60" s="14"/>
      <c r="AF60" s="11" t="str">
        <f t="shared" si="0"/>
        <v/>
      </c>
      <c r="AG60" s="14"/>
      <c r="AH60" s="14"/>
      <c r="AI60" s="11" t="str">
        <f t="shared" si="1"/>
        <v/>
      </c>
      <c r="AJ60" s="14"/>
      <c r="AK60" s="11" t="str">
        <f t="shared" si="2"/>
        <v/>
      </c>
      <c r="AL60" s="11" t="str">
        <f t="shared" si="3"/>
        <v/>
      </c>
      <c r="AM60" s="11">
        <f t="shared" si="12"/>
        <v>0</v>
      </c>
      <c r="AN60" s="15" t="str">
        <f t="shared" si="4"/>
        <v/>
      </c>
      <c r="AO60" s="15"/>
      <c r="AP60" s="16"/>
      <c r="AQ60" s="21"/>
      <c r="AW60" s="60"/>
      <c r="BA60" s="18">
        <v>0.58402777777777781</v>
      </c>
      <c r="BB60" s="18">
        <v>0.58958333333333335</v>
      </c>
      <c r="BC60" s="60">
        <f t="shared" si="17"/>
        <v>5.5555555555555358E-3</v>
      </c>
      <c r="BG60" s="58"/>
      <c r="BH60" s="58"/>
      <c r="BI60" s="10"/>
      <c r="BJ60" s="60">
        <f t="shared" si="9"/>
        <v>0</v>
      </c>
    </row>
    <row r="61" spans="1:62" s="17" customFormat="1" x14ac:dyDescent="0.3">
      <c r="A61" s="23">
        <v>59</v>
      </c>
      <c r="B61" s="7"/>
      <c r="C61" s="14"/>
      <c r="D61" s="14"/>
      <c r="E61" s="11"/>
      <c r="F61" s="14"/>
      <c r="G61" s="14"/>
      <c r="H61" s="11"/>
      <c r="I61" s="7"/>
      <c r="J61" s="14"/>
      <c r="K61" s="11"/>
      <c r="L61" s="7">
        <v>57</v>
      </c>
      <c r="M61" s="14"/>
      <c r="N61" s="11"/>
      <c r="O61" s="7">
        <v>57</v>
      </c>
      <c r="P61" s="14"/>
      <c r="Q61" s="11"/>
      <c r="R61" s="7">
        <v>57</v>
      </c>
      <c r="S61" s="10"/>
      <c r="T61" s="11"/>
      <c r="U61" s="14"/>
      <c r="V61" s="14"/>
      <c r="W61" s="11"/>
      <c r="X61" s="14"/>
      <c r="Y61" s="14"/>
      <c r="Z61" s="11"/>
      <c r="AA61" s="14"/>
      <c r="AB61" s="14"/>
      <c r="AC61" s="11"/>
      <c r="AD61" s="14"/>
      <c r="AE61" s="14"/>
      <c r="AF61" s="11" t="str">
        <f t="shared" si="0"/>
        <v/>
      </c>
      <c r="AG61" s="14"/>
      <c r="AH61" s="14"/>
      <c r="AI61" s="11" t="str">
        <f t="shared" si="1"/>
        <v/>
      </c>
      <c r="AJ61" s="14"/>
      <c r="AK61" s="11" t="str">
        <f t="shared" si="2"/>
        <v/>
      </c>
      <c r="AL61" s="11" t="str">
        <f t="shared" si="3"/>
        <v/>
      </c>
      <c r="AM61" s="11">
        <f t="shared" si="12"/>
        <v>0</v>
      </c>
      <c r="AN61" s="15" t="str">
        <f t="shared" si="4"/>
        <v/>
      </c>
      <c r="AO61" s="15"/>
      <c r="AP61" s="16"/>
      <c r="AQ61" s="21"/>
      <c r="AW61" s="60"/>
      <c r="BA61" s="18">
        <v>0.63680555555555551</v>
      </c>
      <c r="BB61" s="18">
        <v>0.64444444444444449</v>
      </c>
      <c r="BC61" s="60">
        <f t="shared" si="17"/>
        <v>7.6388888888889728E-3</v>
      </c>
      <c r="BG61" s="58"/>
      <c r="BH61" s="58"/>
      <c r="BI61" s="10"/>
      <c r="BJ61" s="60">
        <f t="shared" si="9"/>
        <v>0</v>
      </c>
    </row>
    <row r="62" spans="1:62" s="17" customFormat="1" ht="19.2" customHeight="1" x14ac:dyDescent="0.3">
      <c r="A62" s="23">
        <v>60</v>
      </c>
      <c r="B62" s="7"/>
      <c r="C62" s="14"/>
      <c r="D62" s="14"/>
      <c r="E62" s="11"/>
      <c r="F62" s="14"/>
      <c r="G62" s="14"/>
      <c r="H62" s="11"/>
      <c r="I62" s="7"/>
      <c r="J62" s="14"/>
      <c r="K62" s="11"/>
      <c r="L62" s="7">
        <v>58</v>
      </c>
      <c r="M62" s="14"/>
      <c r="N62" s="11"/>
      <c r="O62" s="7">
        <v>58</v>
      </c>
      <c r="P62" s="14"/>
      <c r="Q62" s="11"/>
      <c r="R62" s="7">
        <v>58</v>
      </c>
      <c r="S62" s="10"/>
      <c r="T62" s="11"/>
      <c r="U62" s="14"/>
      <c r="V62" s="14"/>
      <c r="W62" s="11"/>
      <c r="X62" s="14"/>
      <c r="Y62" s="14"/>
      <c r="Z62" s="11"/>
      <c r="AA62" s="14"/>
      <c r="AB62" s="14"/>
      <c r="AC62" s="11"/>
      <c r="AD62" s="14"/>
      <c r="AE62" s="14"/>
      <c r="AF62" s="11" t="str">
        <f t="shared" si="0"/>
        <v/>
      </c>
      <c r="AG62" s="14"/>
      <c r="AH62" s="14"/>
      <c r="AI62" s="11" t="str">
        <f t="shared" si="1"/>
        <v/>
      </c>
      <c r="AJ62" s="14"/>
      <c r="AK62" s="11" t="str">
        <f t="shared" si="2"/>
        <v/>
      </c>
      <c r="AL62" s="11" t="str">
        <f t="shared" si="3"/>
        <v/>
      </c>
      <c r="AM62" s="11">
        <f t="shared" si="12"/>
        <v>0</v>
      </c>
      <c r="AN62" s="15" t="str">
        <f t="shared" si="4"/>
        <v/>
      </c>
      <c r="AO62" s="15"/>
      <c r="AP62" s="16" t="s">
        <v>76</v>
      </c>
      <c r="AQ62" s="21"/>
      <c r="AW62" s="60"/>
      <c r="BA62" s="18">
        <v>0.62638888888888888</v>
      </c>
      <c r="BB62" s="18">
        <v>0.63055555555555554</v>
      </c>
      <c r="BC62" s="60">
        <f t="shared" si="17"/>
        <v>4.1666666666666519E-3</v>
      </c>
      <c r="BG62" s="58"/>
      <c r="BH62" s="58"/>
      <c r="BI62" s="10"/>
      <c r="BJ62" s="60">
        <f t="shared" si="9"/>
        <v>0</v>
      </c>
    </row>
    <row r="63" spans="1:62" s="17" customFormat="1" x14ac:dyDescent="0.3">
      <c r="A63" s="23">
        <v>61</v>
      </c>
      <c r="B63" s="7"/>
      <c r="C63" s="14"/>
      <c r="D63" s="14"/>
      <c r="E63" s="11"/>
      <c r="F63" s="14"/>
      <c r="G63" s="14"/>
      <c r="H63" s="11"/>
      <c r="I63" s="7"/>
      <c r="J63" s="14"/>
      <c r="K63" s="11"/>
      <c r="L63" s="7">
        <v>59</v>
      </c>
      <c r="M63" s="14"/>
      <c r="N63" s="11"/>
      <c r="O63" s="7">
        <v>59</v>
      </c>
      <c r="P63" s="14"/>
      <c r="Q63" s="11"/>
      <c r="R63" s="7">
        <v>59</v>
      </c>
      <c r="S63" s="14"/>
      <c r="T63" s="11"/>
      <c r="U63" s="14"/>
      <c r="V63" s="14"/>
      <c r="W63" s="11"/>
      <c r="X63" s="14"/>
      <c r="Y63" s="14"/>
      <c r="Z63" s="11"/>
      <c r="AA63" s="14"/>
      <c r="AB63" s="14"/>
      <c r="AC63" s="11"/>
      <c r="AD63" s="14"/>
      <c r="AE63" s="14"/>
      <c r="AF63" s="11" t="str">
        <f t="shared" si="0"/>
        <v/>
      </c>
      <c r="AG63" s="14"/>
      <c r="AH63" s="14"/>
      <c r="AI63" s="11" t="str">
        <f t="shared" si="1"/>
        <v/>
      </c>
      <c r="AJ63" s="14"/>
      <c r="AK63" s="11" t="str">
        <f t="shared" si="2"/>
        <v/>
      </c>
      <c r="AL63" s="11" t="str">
        <f t="shared" si="3"/>
        <v/>
      </c>
      <c r="AM63" s="11">
        <f t="shared" si="12"/>
        <v>0</v>
      </c>
      <c r="AN63" s="15" t="str">
        <f t="shared" si="4"/>
        <v/>
      </c>
      <c r="AO63" s="15"/>
      <c r="AP63" s="16"/>
      <c r="AQ63" s="21"/>
      <c r="AW63" s="60"/>
      <c r="BA63" s="18"/>
      <c r="BB63" s="18"/>
      <c r="BC63" s="60">
        <f t="shared" si="17"/>
        <v>0</v>
      </c>
      <c r="BG63" s="58"/>
      <c r="BH63" s="58"/>
      <c r="BI63" s="10"/>
      <c r="BJ63" s="60">
        <f t="shared" si="9"/>
        <v>0</v>
      </c>
    </row>
    <row r="64" spans="1:62" s="17" customFormat="1" x14ac:dyDescent="0.3">
      <c r="A64" s="23">
        <v>62</v>
      </c>
      <c r="B64" s="7"/>
      <c r="C64" s="14"/>
      <c r="D64" s="14"/>
      <c r="E64" s="11"/>
      <c r="F64" s="14"/>
      <c r="G64" s="14"/>
      <c r="H64" s="11"/>
      <c r="I64" s="7"/>
      <c r="J64" s="14"/>
      <c r="K64" s="11"/>
      <c r="L64" s="7">
        <v>60</v>
      </c>
      <c r="M64" s="14"/>
      <c r="N64" s="11"/>
      <c r="O64" s="7">
        <v>60</v>
      </c>
      <c r="P64" s="14"/>
      <c r="Q64" s="11"/>
      <c r="R64" s="7">
        <v>60</v>
      </c>
      <c r="S64" s="14"/>
      <c r="T64" s="11"/>
      <c r="U64" s="14"/>
      <c r="V64" s="14"/>
      <c r="W64" s="11"/>
      <c r="X64" s="14"/>
      <c r="Y64" s="14"/>
      <c r="Z64" s="11"/>
      <c r="AA64" s="14"/>
      <c r="AB64" s="14"/>
      <c r="AC64" s="11"/>
      <c r="AD64" s="14"/>
      <c r="AE64" s="14"/>
      <c r="AF64" s="11" t="str">
        <f t="shared" si="0"/>
        <v/>
      </c>
      <c r="AG64" s="14"/>
      <c r="AH64" s="14"/>
      <c r="AI64" s="11" t="str">
        <f t="shared" si="1"/>
        <v/>
      </c>
      <c r="AJ64" s="14"/>
      <c r="AK64" s="11" t="str">
        <f t="shared" si="2"/>
        <v/>
      </c>
      <c r="AL64" s="11" t="str">
        <f t="shared" si="3"/>
        <v/>
      </c>
      <c r="AM64" s="11">
        <f t="shared" si="12"/>
        <v>0</v>
      </c>
      <c r="AN64" s="15" t="str">
        <f t="shared" si="4"/>
        <v/>
      </c>
      <c r="AO64" s="15"/>
      <c r="AP64" s="16"/>
      <c r="AQ64" s="21"/>
      <c r="AW64" s="60"/>
      <c r="BA64" s="18"/>
      <c r="BB64" s="18"/>
      <c r="BC64" s="60">
        <f t="shared" si="17"/>
        <v>0</v>
      </c>
      <c r="BG64" s="58"/>
      <c r="BH64" s="58"/>
      <c r="BI64" s="10"/>
      <c r="BJ64" s="60">
        <f t="shared" si="9"/>
        <v>0</v>
      </c>
    </row>
    <row r="65" spans="1:62" s="17" customFormat="1" x14ac:dyDescent="0.3">
      <c r="A65" s="23">
        <v>63</v>
      </c>
      <c r="B65" s="7"/>
      <c r="C65" s="14"/>
      <c r="D65" s="14"/>
      <c r="E65" s="11"/>
      <c r="F65" s="14"/>
      <c r="G65" s="14"/>
      <c r="H65" s="11"/>
      <c r="I65" s="7"/>
      <c r="J65" s="14"/>
      <c r="K65" s="11"/>
      <c r="L65" s="7">
        <v>61</v>
      </c>
      <c r="M65" s="14"/>
      <c r="N65" s="11"/>
      <c r="O65" s="7">
        <v>61</v>
      </c>
      <c r="P65" s="14"/>
      <c r="Q65" s="11"/>
      <c r="R65" s="7">
        <v>61</v>
      </c>
      <c r="S65" s="14"/>
      <c r="T65" s="11"/>
      <c r="U65" s="14"/>
      <c r="V65" s="14"/>
      <c r="W65" s="11"/>
      <c r="X65" s="14"/>
      <c r="Y65" s="14"/>
      <c r="Z65" s="11"/>
      <c r="AA65" s="14"/>
      <c r="AB65" s="14"/>
      <c r="AC65" s="11"/>
      <c r="AD65" s="14"/>
      <c r="AE65" s="14"/>
      <c r="AF65" s="11" t="str">
        <f t="shared" si="0"/>
        <v/>
      </c>
      <c r="AG65" s="14"/>
      <c r="AH65" s="14"/>
      <c r="AI65" s="11" t="str">
        <f t="shared" si="1"/>
        <v/>
      </c>
      <c r="AJ65" s="14"/>
      <c r="AK65" s="11" t="str">
        <f t="shared" si="2"/>
        <v/>
      </c>
      <c r="AL65" s="11" t="str">
        <f t="shared" si="3"/>
        <v/>
      </c>
      <c r="AM65" s="11">
        <f t="shared" si="12"/>
        <v>0</v>
      </c>
      <c r="AN65" s="15" t="str">
        <f t="shared" si="4"/>
        <v/>
      </c>
      <c r="AO65" s="15"/>
      <c r="AP65" s="16"/>
      <c r="AQ65" s="21"/>
      <c r="AW65" s="60"/>
      <c r="BA65" s="18"/>
      <c r="BB65" s="18"/>
      <c r="BC65" s="60">
        <f t="shared" si="17"/>
        <v>0</v>
      </c>
      <c r="BG65" s="58"/>
      <c r="BH65" s="58"/>
      <c r="BI65" s="10"/>
      <c r="BJ65" s="60">
        <f t="shared" si="9"/>
        <v>0</v>
      </c>
    </row>
    <row r="66" spans="1:62" s="17" customFormat="1" x14ac:dyDescent="0.3">
      <c r="A66" s="23">
        <v>64</v>
      </c>
      <c r="B66" s="7"/>
      <c r="C66" s="14"/>
      <c r="D66" s="14"/>
      <c r="E66" s="11"/>
      <c r="F66" s="14"/>
      <c r="G66" s="14"/>
      <c r="H66" s="11"/>
      <c r="I66" s="7"/>
      <c r="J66" s="14"/>
      <c r="K66" s="11"/>
      <c r="L66" s="7">
        <v>62</v>
      </c>
      <c r="M66" s="14"/>
      <c r="N66" s="11"/>
      <c r="O66" s="7">
        <v>62</v>
      </c>
      <c r="P66" s="14"/>
      <c r="Q66" s="11"/>
      <c r="R66" s="7">
        <v>62</v>
      </c>
      <c r="S66" s="14"/>
      <c r="T66" s="11"/>
      <c r="U66" s="14"/>
      <c r="V66" s="14"/>
      <c r="W66" s="11"/>
      <c r="X66" s="14"/>
      <c r="Y66" s="14"/>
      <c r="Z66" s="11"/>
      <c r="AA66" s="14"/>
      <c r="AB66" s="14"/>
      <c r="AC66" s="11"/>
      <c r="AD66" s="14"/>
      <c r="AE66" s="14"/>
      <c r="AF66" s="11" t="str">
        <f t="shared" si="0"/>
        <v/>
      </c>
      <c r="AG66" s="14"/>
      <c r="AH66" s="14"/>
      <c r="AI66" s="11" t="str">
        <f t="shared" si="1"/>
        <v/>
      </c>
      <c r="AJ66" s="14"/>
      <c r="AK66" s="11" t="str">
        <f t="shared" si="2"/>
        <v/>
      </c>
      <c r="AL66" s="11" t="str">
        <f t="shared" si="3"/>
        <v/>
      </c>
      <c r="AM66" s="11">
        <f t="shared" si="12"/>
        <v>0</v>
      </c>
      <c r="AN66" s="15" t="str">
        <f t="shared" si="4"/>
        <v/>
      </c>
      <c r="AO66" s="15"/>
      <c r="AP66" s="16"/>
      <c r="AQ66" s="21"/>
      <c r="AW66" s="60"/>
      <c r="BA66" s="18"/>
      <c r="BB66" s="18"/>
      <c r="BC66" s="60">
        <f t="shared" si="17"/>
        <v>0</v>
      </c>
      <c r="BG66" s="58"/>
      <c r="BH66" s="58"/>
      <c r="BI66" s="10"/>
      <c r="BJ66" s="60">
        <f t="shared" si="9"/>
        <v>0</v>
      </c>
    </row>
    <row r="67" spans="1:62" s="17" customFormat="1" x14ac:dyDescent="0.3">
      <c r="A67" s="23">
        <v>65</v>
      </c>
      <c r="B67" s="7"/>
      <c r="C67" s="14"/>
      <c r="D67" s="14"/>
      <c r="E67" s="11"/>
      <c r="F67" s="14"/>
      <c r="G67" s="14"/>
      <c r="H67" s="11"/>
      <c r="I67" s="7"/>
      <c r="J67" s="14"/>
      <c r="K67" s="11"/>
      <c r="L67" s="7">
        <v>63</v>
      </c>
      <c r="M67" s="14"/>
      <c r="N67" s="11"/>
      <c r="O67" s="7">
        <v>63</v>
      </c>
      <c r="P67" s="14"/>
      <c r="Q67" s="11"/>
      <c r="R67" s="7">
        <v>63</v>
      </c>
      <c r="S67" s="14"/>
      <c r="T67" s="11"/>
      <c r="U67" s="14"/>
      <c r="V67" s="14"/>
      <c r="W67" s="11"/>
      <c r="X67" s="14"/>
      <c r="Y67" s="14"/>
      <c r="Z67" s="11"/>
      <c r="AA67" s="14"/>
      <c r="AB67" s="14"/>
      <c r="AC67" s="11"/>
      <c r="AD67" s="14"/>
      <c r="AE67" s="14"/>
      <c r="AF67" s="11" t="str">
        <f t="shared" si="0"/>
        <v/>
      </c>
      <c r="AG67" s="14"/>
      <c r="AH67" s="14"/>
      <c r="AI67" s="11" t="str">
        <f t="shared" si="1"/>
        <v/>
      </c>
      <c r="AJ67" s="14"/>
      <c r="AK67" s="11" t="str">
        <f t="shared" si="2"/>
        <v/>
      </c>
      <c r="AL67" s="11" t="str">
        <f t="shared" si="3"/>
        <v/>
      </c>
      <c r="AM67" s="11">
        <f t="shared" si="12"/>
        <v>0</v>
      </c>
      <c r="AN67" s="15" t="str">
        <f t="shared" si="4"/>
        <v/>
      </c>
      <c r="AO67" s="15"/>
      <c r="AP67" s="16"/>
      <c r="AQ67" s="21"/>
      <c r="AW67" s="60"/>
      <c r="BA67" s="18"/>
      <c r="BB67" s="18"/>
      <c r="BC67" s="60">
        <f t="shared" si="17"/>
        <v>0</v>
      </c>
      <c r="BG67" s="58"/>
      <c r="BH67" s="58"/>
      <c r="BI67" s="10"/>
      <c r="BJ67" s="60">
        <f t="shared" si="9"/>
        <v>0</v>
      </c>
    </row>
    <row r="68" spans="1:62" s="17" customFormat="1" x14ac:dyDescent="0.3">
      <c r="A68" s="23">
        <v>66</v>
      </c>
      <c r="B68" s="7"/>
      <c r="C68" s="14"/>
      <c r="D68" s="14"/>
      <c r="E68" s="11"/>
      <c r="F68" s="14"/>
      <c r="G68" s="14"/>
      <c r="H68" s="11"/>
      <c r="I68" s="7"/>
      <c r="J68" s="14"/>
      <c r="K68" s="11"/>
      <c r="L68" s="7">
        <v>64</v>
      </c>
      <c r="M68" s="14"/>
      <c r="N68" s="11"/>
      <c r="O68" s="7">
        <v>64</v>
      </c>
      <c r="P68" s="14"/>
      <c r="Q68" s="11"/>
      <c r="R68" s="7">
        <v>64</v>
      </c>
      <c r="S68" s="14"/>
      <c r="T68" s="11"/>
      <c r="U68" s="14"/>
      <c r="V68" s="14"/>
      <c r="W68" s="11"/>
      <c r="X68" s="14"/>
      <c r="Y68" s="14"/>
      <c r="Z68" s="11"/>
      <c r="AA68" s="14"/>
      <c r="AB68" s="14"/>
      <c r="AC68" s="11"/>
      <c r="AD68" s="14"/>
      <c r="AE68" s="14"/>
      <c r="AF68" s="11" t="str">
        <f t="shared" si="0"/>
        <v/>
      </c>
      <c r="AG68" s="14"/>
      <c r="AH68" s="14"/>
      <c r="AI68" s="11" t="str">
        <f t="shared" si="1"/>
        <v/>
      </c>
      <c r="AJ68" s="14"/>
      <c r="AK68" s="11" t="str">
        <f t="shared" si="2"/>
        <v/>
      </c>
      <c r="AL68" s="11" t="str">
        <f t="shared" si="3"/>
        <v/>
      </c>
      <c r="AM68" s="11">
        <f t="shared" si="12"/>
        <v>0</v>
      </c>
      <c r="AN68" s="15" t="str">
        <f t="shared" si="4"/>
        <v/>
      </c>
      <c r="AO68" s="15"/>
      <c r="AP68" s="16"/>
      <c r="AQ68" s="21"/>
      <c r="AW68" s="62"/>
      <c r="BA68" s="18"/>
      <c r="BB68" s="18"/>
      <c r="BC68" s="60">
        <f t="shared" si="17"/>
        <v>0</v>
      </c>
      <c r="BG68" s="58"/>
      <c r="BH68" s="58"/>
      <c r="BI68" s="10"/>
      <c r="BJ68" s="60">
        <f t="shared" si="9"/>
        <v>0</v>
      </c>
    </row>
    <row r="69" spans="1:62" s="17" customFormat="1" x14ac:dyDescent="0.3">
      <c r="A69" s="23">
        <v>67</v>
      </c>
      <c r="B69" s="7"/>
      <c r="C69" s="14"/>
      <c r="D69" s="14"/>
      <c r="E69" s="11"/>
      <c r="F69" s="14"/>
      <c r="G69" s="14"/>
      <c r="H69" s="11"/>
      <c r="I69" s="7"/>
      <c r="J69" s="14"/>
      <c r="K69" s="11"/>
      <c r="L69" s="7">
        <v>65</v>
      </c>
      <c r="M69" s="14"/>
      <c r="N69" s="11"/>
      <c r="O69" s="7">
        <v>65</v>
      </c>
      <c r="P69" s="14"/>
      <c r="Q69" s="11"/>
      <c r="R69" s="7">
        <v>65</v>
      </c>
      <c r="S69" s="14"/>
      <c r="T69" s="11"/>
      <c r="U69" s="14"/>
      <c r="V69" s="14"/>
      <c r="W69" s="11"/>
      <c r="X69" s="14"/>
      <c r="Y69" s="14"/>
      <c r="Z69" s="11"/>
      <c r="AA69" s="14"/>
      <c r="AB69" s="14"/>
      <c r="AC69" s="11"/>
      <c r="AD69" s="14"/>
      <c r="AE69" s="14"/>
      <c r="AF69" s="11" t="str">
        <f t="shared" ref="AF69:AF132" si="18">IF(AND(AD69&lt;&gt;"",AE69&lt;&gt;""),(AE69-AD69)*1440,"")</f>
        <v/>
      </c>
      <c r="AG69" s="14"/>
      <c r="AH69" s="14"/>
      <c r="AI69" s="11" t="str">
        <f t="shared" ref="AI69:AI132" si="19">IF(AND(AG69&lt;&gt;"",AH69&lt;&gt;""),(AH69-AG69)*1440,"")</f>
        <v/>
      </c>
      <c r="AJ69" s="14"/>
      <c r="AK69" s="11" t="str">
        <f t="shared" ref="AK69:AK132" si="20">IF(AND(C69&lt;&gt;"",AJ69&lt;&gt;""),(AJ69-C69)*1440,"")</f>
        <v/>
      </c>
      <c r="AL69" s="11" t="str">
        <f t="shared" ref="AL69:AL132" si="21">IF(AC69="","",ROUND(N(AC69),1))</f>
        <v/>
      </c>
      <c r="AM69" s="11">
        <f t="shared" ref="AM69:AM132" si="22">IF(COUNT(D69,G69,J69,M69,P69,S69,V69,Y69,AF69,AI69,AT69,AW69,AZ69,BC69,BF69)=0,"",ROUND(N(D69)*1440+N(G69)*1440+N(J69)*1440+N(M69)*1440+N(P69)*1440+N(S69)*1440+N(V69)*1440+N(Y69)*1440+N(AF69)+N(AI69)+N(AT69)+N(AW69)+N(AZ69)+N(BC69)+N(BF69),1))</f>
        <v>0</v>
      </c>
      <c r="AN69" s="15" t="str">
        <f t="shared" ref="AN69:AN132" si="23">IF(OR(AK69="",AK69=0),"",AL69/AK69)</f>
        <v/>
      </c>
      <c r="AO69" s="15"/>
      <c r="AP69" s="16"/>
      <c r="AQ69" s="21"/>
      <c r="AW69" s="62"/>
      <c r="BA69" s="18"/>
      <c r="BB69" s="18"/>
      <c r="BC69" s="60">
        <f t="shared" si="17"/>
        <v>0</v>
      </c>
      <c r="BG69" s="58"/>
      <c r="BH69" s="58"/>
      <c r="BI69" s="10"/>
      <c r="BJ69" s="60">
        <f t="shared" si="9"/>
        <v>0</v>
      </c>
    </row>
    <row r="70" spans="1:62" s="17" customFormat="1" x14ac:dyDescent="0.3">
      <c r="A70" s="23">
        <v>68</v>
      </c>
      <c r="B70" s="7"/>
      <c r="C70" s="14"/>
      <c r="D70" s="14"/>
      <c r="E70" s="11"/>
      <c r="F70" s="14"/>
      <c r="G70" s="14"/>
      <c r="H70" s="11"/>
      <c r="I70" s="7"/>
      <c r="J70" s="14"/>
      <c r="K70" s="11"/>
      <c r="L70" s="7">
        <v>66</v>
      </c>
      <c r="M70" s="14"/>
      <c r="N70" s="11"/>
      <c r="O70" s="7">
        <v>66</v>
      </c>
      <c r="P70" s="14"/>
      <c r="Q70" s="11"/>
      <c r="R70" s="7">
        <v>66</v>
      </c>
      <c r="S70" s="14"/>
      <c r="T70" s="11"/>
      <c r="U70" s="14"/>
      <c r="V70" s="14"/>
      <c r="W70" s="11"/>
      <c r="X70" s="14"/>
      <c r="Y70" s="14"/>
      <c r="Z70" s="11"/>
      <c r="AA70" s="14"/>
      <c r="AB70" s="14"/>
      <c r="AC70" s="11"/>
      <c r="AD70" s="14"/>
      <c r="AE70" s="14"/>
      <c r="AF70" s="11" t="str">
        <f t="shared" si="18"/>
        <v/>
      </c>
      <c r="AG70" s="14"/>
      <c r="AH70" s="14"/>
      <c r="AI70" s="11" t="str">
        <f t="shared" si="19"/>
        <v/>
      </c>
      <c r="AJ70" s="14"/>
      <c r="AK70" s="11" t="str">
        <f t="shared" si="20"/>
        <v/>
      </c>
      <c r="AL70" s="11" t="str">
        <f t="shared" si="21"/>
        <v/>
      </c>
      <c r="AM70" s="11">
        <f t="shared" si="22"/>
        <v>0</v>
      </c>
      <c r="AN70" s="15" t="str">
        <f t="shared" si="23"/>
        <v/>
      </c>
      <c r="AO70" s="15"/>
      <c r="AP70" s="16"/>
      <c r="AQ70" s="21"/>
      <c r="AW70" s="62"/>
      <c r="BA70" s="18"/>
      <c r="BB70" s="18"/>
      <c r="BC70" s="60">
        <f t="shared" si="17"/>
        <v>0</v>
      </c>
      <c r="BG70" s="58"/>
      <c r="BH70" s="58"/>
      <c r="BI70" s="10"/>
      <c r="BJ70" s="60">
        <f t="shared" si="9"/>
        <v>0</v>
      </c>
    </row>
    <row r="71" spans="1:62" s="17" customFormat="1" x14ac:dyDescent="0.3">
      <c r="A71" s="23">
        <v>69</v>
      </c>
      <c r="B71" s="7"/>
      <c r="C71" s="14"/>
      <c r="D71" s="14"/>
      <c r="E71" s="11"/>
      <c r="F71" s="14"/>
      <c r="G71" s="14"/>
      <c r="H71" s="11"/>
      <c r="I71" s="7"/>
      <c r="J71" s="14"/>
      <c r="K71" s="11"/>
      <c r="L71" s="7">
        <v>67</v>
      </c>
      <c r="M71" s="14"/>
      <c r="N71" s="11"/>
      <c r="O71" s="7">
        <v>67</v>
      </c>
      <c r="P71" s="14"/>
      <c r="Q71" s="11"/>
      <c r="R71" s="7">
        <v>67</v>
      </c>
      <c r="S71" s="14"/>
      <c r="T71" s="11"/>
      <c r="U71" s="14"/>
      <c r="V71" s="14"/>
      <c r="W71" s="11"/>
      <c r="X71" s="14"/>
      <c r="Y71" s="14"/>
      <c r="Z71" s="11"/>
      <c r="AA71" s="14"/>
      <c r="AB71" s="14"/>
      <c r="AC71" s="11"/>
      <c r="AD71" s="14"/>
      <c r="AE71" s="14"/>
      <c r="AF71" s="11" t="str">
        <f t="shared" si="18"/>
        <v/>
      </c>
      <c r="AG71" s="14"/>
      <c r="AH71" s="14"/>
      <c r="AI71" s="11" t="str">
        <f t="shared" si="19"/>
        <v/>
      </c>
      <c r="AJ71" s="14"/>
      <c r="AK71" s="11" t="str">
        <f t="shared" si="20"/>
        <v/>
      </c>
      <c r="AL71" s="11" t="str">
        <f t="shared" si="21"/>
        <v/>
      </c>
      <c r="AM71" s="11">
        <f t="shared" si="22"/>
        <v>0</v>
      </c>
      <c r="AN71" s="15" t="str">
        <f t="shared" si="23"/>
        <v/>
      </c>
      <c r="AO71" s="15"/>
      <c r="AP71" s="16"/>
      <c r="AQ71" s="21"/>
      <c r="AW71" s="62"/>
      <c r="BA71" s="18"/>
      <c r="BB71" s="18"/>
      <c r="BC71" s="60">
        <f t="shared" si="17"/>
        <v>0</v>
      </c>
      <c r="BG71" s="58"/>
      <c r="BH71" s="58"/>
      <c r="BI71" s="10"/>
      <c r="BJ71" s="60">
        <f t="shared" si="9"/>
        <v>0</v>
      </c>
    </row>
    <row r="72" spans="1:62" s="17" customFormat="1" x14ac:dyDescent="0.3">
      <c r="A72" s="23">
        <v>70</v>
      </c>
      <c r="B72" s="7"/>
      <c r="C72" s="14"/>
      <c r="D72" s="14"/>
      <c r="E72" s="11"/>
      <c r="F72" s="14"/>
      <c r="G72" s="14"/>
      <c r="H72" s="11"/>
      <c r="I72" s="7"/>
      <c r="J72" s="14"/>
      <c r="K72" s="11"/>
      <c r="L72" s="7">
        <v>68</v>
      </c>
      <c r="M72" s="14"/>
      <c r="N72" s="11"/>
      <c r="O72" s="7">
        <v>68</v>
      </c>
      <c r="P72" s="14"/>
      <c r="Q72" s="11"/>
      <c r="R72" s="7">
        <v>68</v>
      </c>
      <c r="S72" s="14"/>
      <c r="T72" s="11"/>
      <c r="U72" s="14"/>
      <c r="V72" s="14"/>
      <c r="W72" s="11"/>
      <c r="X72" s="14"/>
      <c r="Y72" s="14"/>
      <c r="Z72" s="11"/>
      <c r="AA72" s="14"/>
      <c r="AB72" s="14"/>
      <c r="AC72" s="11"/>
      <c r="AD72" s="14"/>
      <c r="AE72" s="14"/>
      <c r="AF72" s="11" t="str">
        <f t="shared" si="18"/>
        <v/>
      </c>
      <c r="AG72" s="14"/>
      <c r="AH72" s="14"/>
      <c r="AI72" s="11" t="str">
        <f t="shared" si="19"/>
        <v/>
      </c>
      <c r="AJ72" s="14"/>
      <c r="AK72" s="11" t="str">
        <f t="shared" si="20"/>
        <v/>
      </c>
      <c r="AL72" s="11" t="str">
        <f t="shared" si="21"/>
        <v/>
      </c>
      <c r="AM72" s="11">
        <f t="shared" si="22"/>
        <v>0</v>
      </c>
      <c r="AN72" s="15" t="str">
        <f t="shared" si="23"/>
        <v/>
      </c>
      <c r="AO72" s="15"/>
      <c r="AP72" s="16"/>
      <c r="AQ72" s="21"/>
      <c r="AW72" s="62"/>
      <c r="BA72" s="18"/>
      <c r="BB72" s="18"/>
      <c r="BC72" s="60">
        <f t="shared" si="17"/>
        <v>0</v>
      </c>
      <c r="BG72" s="58"/>
      <c r="BH72" s="58"/>
      <c r="BI72" s="10"/>
      <c r="BJ72" s="60">
        <f t="shared" si="9"/>
        <v>0</v>
      </c>
    </row>
    <row r="73" spans="1:62" s="17" customFormat="1" x14ac:dyDescent="0.3">
      <c r="A73" s="23">
        <v>71</v>
      </c>
      <c r="B73" s="7"/>
      <c r="C73" s="14"/>
      <c r="D73" s="14"/>
      <c r="E73" s="11"/>
      <c r="F73" s="14"/>
      <c r="G73" s="14"/>
      <c r="H73" s="11"/>
      <c r="I73" s="7"/>
      <c r="J73" s="14"/>
      <c r="K73" s="11"/>
      <c r="L73" s="7">
        <v>69</v>
      </c>
      <c r="M73" s="14"/>
      <c r="N73" s="11"/>
      <c r="O73" s="7">
        <v>69</v>
      </c>
      <c r="P73" s="14"/>
      <c r="Q73" s="11"/>
      <c r="R73" s="7">
        <v>69</v>
      </c>
      <c r="S73" s="14"/>
      <c r="T73" s="11"/>
      <c r="U73" s="14"/>
      <c r="V73" s="14"/>
      <c r="W73" s="11"/>
      <c r="X73" s="14"/>
      <c r="Y73" s="14"/>
      <c r="Z73" s="11"/>
      <c r="AA73" s="14"/>
      <c r="AB73" s="14"/>
      <c r="AC73" s="11"/>
      <c r="AD73" s="14"/>
      <c r="AE73" s="14"/>
      <c r="AF73" s="11" t="str">
        <f t="shared" si="18"/>
        <v/>
      </c>
      <c r="AG73" s="14"/>
      <c r="AH73" s="14"/>
      <c r="AI73" s="11" t="str">
        <f t="shared" si="19"/>
        <v/>
      </c>
      <c r="AJ73" s="14"/>
      <c r="AK73" s="11" t="str">
        <f t="shared" si="20"/>
        <v/>
      </c>
      <c r="AL73" s="11" t="str">
        <f t="shared" si="21"/>
        <v/>
      </c>
      <c r="AM73" s="11">
        <f t="shared" si="22"/>
        <v>0</v>
      </c>
      <c r="AN73" s="15" t="str">
        <f t="shared" si="23"/>
        <v/>
      </c>
      <c r="AO73" s="15"/>
      <c r="AP73" s="16"/>
      <c r="AQ73" s="21"/>
      <c r="BA73" s="18"/>
      <c r="BB73" s="18"/>
      <c r="BC73" s="60">
        <f t="shared" si="17"/>
        <v>0</v>
      </c>
      <c r="BG73" s="58"/>
      <c r="BH73" s="58"/>
      <c r="BI73" s="10"/>
      <c r="BJ73" s="60">
        <f t="shared" si="9"/>
        <v>0</v>
      </c>
    </row>
    <row r="74" spans="1:62" s="17" customFormat="1" x14ac:dyDescent="0.3">
      <c r="A74" s="23">
        <v>72</v>
      </c>
      <c r="B74" s="7"/>
      <c r="C74" s="14"/>
      <c r="D74" s="14"/>
      <c r="E74" s="11"/>
      <c r="F74" s="14"/>
      <c r="G74" s="14"/>
      <c r="H74" s="11"/>
      <c r="I74" s="7"/>
      <c r="J74" s="14"/>
      <c r="K74" s="11"/>
      <c r="L74" s="7">
        <v>70</v>
      </c>
      <c r="M74" s="14"/>
      <c r="N74" s="11"/>
      <c r="O74" s="7">
        <v>70</v>
      </c>
      <c r="P74" s="14"/>
      <c r="Q74" s="11"/>
      <c r="R74" s="7">
        <v>70</v>
      </c>
      <c r="S74" s="14"/>
      <c r="T74" s="11"/>
      <c r="U74" s="14"/>
      <c r="V74" s="14"/>
      <c r="W74" s="11"/>
      <c r="X74" s="14"/>
      <c r="Y74" s="14"/>
      <c r="Z74" s="11"/>
      <c r="AA74" s="14"/>
      <c r="AB74" s="14"/>
      <c r="AC74" s="11"/>
      <c r="AD74" s="14"/>
      <c r="AE74" s="14"/>
      <c r="AF74" s="11" t="str">
        <f t="shared" si="18"/>
        <v/>
      </c>
      <c r="AG74" s="14"/>
      <c r="AH74" s="14"/>
      <c r="AI74" s="11" t="str">
        <f t="shared" si="19"/>
        <v/>
      </c>
      <c r="AJ74" s="14"/>
      <c r="AK74" s="11" t="str">
        <f t="shared" si="20"/>
        <v/>
      </c>
      <c r="AL74" s="11" t="str">
        <f t="shared" si="21"/>
        <v/>
      </c>
      <c r="AM74" s="11">
        <f t="shared" si="22"/>
        <v>0</v>
      </c>
      <c r="AN74" s="15" t="str">
        <f t="shared" si="23"/>
        <v/>
      </c>
      <c r="AO74" s="15"/>
      <c r="AP74" s="16"/>
      <c r="AQ74" s="21"/>
      <c r="BA74" s="18"/>
      <c r="BC74" s="60">
        <f t="shared" si="17"/>
        <v>0</v>
      </c>
      <c r="BG74" s="58"/>
      <c r="BH74" s="58"/>
      <c r="BI74" s="10"/>
      <c r="BJ74" s="60">
        <f t="shared" ref="BJ74:BJ137" si="24">BH74-BG74</f>
        <v>0</v>
      </c>
    </row>
    <row r="75" spans="1:62" s="17" customFormat="1" x14ac:dyDescent="0.3">
      <c r="A75" s="23">
        <v>73</v>
      </c>
      <c r="B75" s="7"/>
      <c r="C75" s="14"/>
      <c r="D75" s="14"/>
      <c r="E75" s="11"/>
      <c r="F75" s="14"/>
      <c r="G75" s="14"/>
      <c r="H75" s="11"/>
      <c r="I75" s="7"/>
      <c r="J75" s="14"/>
      <c r="K75" s="11"/>
      <c r="L75" s="7">
        <v>71</v>
      </c>
      <c r="M75" s="14"/>
      <c r="N75" s="11"/>
      <c r="O75" s="7">
        <v>71</v>
      </c>
      <c r="P75" s="14"/>
      <c r="Q75" s="11"/>
      <c r="R75" s="7">
        <v>71</v>
      </c>
      <c r="S75" s="14"/>
      <c r="T75" s="11"/>
      <c r="U75" s="14"/>
      <c r="V75" s="14"/>
      <c r="W75" s="11"/>
      <c r="X75" s="14"/>
      <c r="Y75" s="14"/>
      <c r="Z75" s="11"/>
      <c r="AA75" s="14"/>
      <c r="AB75" s="14"/>
      <c r="AC75" s="11"/>
      <c r="AD75" s="14"/>
      <c r="AE75" s="14"/>
      <c r="AF75" s="11" t="str">
        <f t="shared" si="18"/>
        <v/>
      </c>
      <c r="AG75" s="14"/>
      <c r="AH75" s="14"/>
      <c r="AI75" s="11" t="str">
        <f t="shared" si="19"/>
        <v/>
      </c>
      <c r="AJ75" s="14"/>
      <c r="AK75" s="11" t="str">
        <f t="shared" si="20"/>
        <v/>
      </c>
      <c r="AL75" s="11" t="str">
        <f t="shared" si="21"/>
        <v/>
      </c>
      <c r="AM75" s="11">
        <f t="shared" si="22"/>
        <v>0</v>
      </c>
      <c r="AN75" s="15" t="str">
        <f t="shared" si="23"/>
        <v/>
      </c>
      <c r="AO75" s="15"/>
      <c r="AP75" s="16"/>
      <c r="AQ75" s="21"/>
      <c r="BC75" s="60">
        <f t="shared" si="17"/>
        <v>0</v>
      </c>
      <c r="BG75" s="58"/>
      <c r="BH75" s="58"/>
      <c r="BI75" s="10"/>
      <c r="BJ75" s="60">
        <f t="shared" si="24"/>
        <v>0</v>
      </c>
    </row>
    <row r="76" spans="1:62" s="17" customFormat="1" x14ac:dyDescent="0.3">
      <c r="A76" s="23">
        <v>74</v>
      </c>
      <c r="B76" s="7"/>
      <c r="C76" s="14"/>
      <c r="D76" s="14"/>
      <c r="E76" s="11"/>
      <c r="F76" s="14"/>
      <c r="G76" s="14"/>
      <c r="H76" s="11"/>
      <c r="I76" s="7"/>
      <c r="J76" s="14"/>
      <c r="K76" s="11"/>
      <c r="L76" s="7">
        <v>72</v>
      </c>
      <c r="M76" s="14"/>
      <c r="N76" s="11"/>
      <c r="O76" s="7">
        <v>72</v>
      </c>
      <c r="P76" s="14"/>
      <c r="Q76" s="11"/>
      <c r="R76" s="7">
        <v>72</v>
      </c>
      <c r="S76" s="14"/>
      <c r="T76" s="11"/>
      <c r="U76" s="14"/>
      <c r="V76" s="14"/>
      <c r="W76" s="11"/>
      <c r="X76" s="14"/>
      <c r="Y76" s="14"/>
      <c r="Z76" s="11"/>
      <c r="AA76" s="14"/>
      <c r="AB76" s="14"/>
      <c r="AC76" s="11"/>
      <c r="AD76" s="14"/>
      <c r="AE76" s="14"/>
      <c r="AF76" s="11" t="str">
        <f t="shared" si="18"/>
        <v/>
      </c>
      <c r="AG76" s="14"/>
      <c r="AH76" s="14"/>
      <c r="AI76" s="11" t="str">
        <f t="shared" si="19"/>
        <v/>
      </c>
      <c r="AJ76" s="14"/>
      <c r="AK76" s="11" t="str">
        <f t="shared" si="20"/>
        <v/>
      </c>
      <c r="AL76" s="11" t="str">
        <f t="shared" si="21"/>
        <v/>
      </c>
      <c r="AM76" s="11">
        <f t="shared" si="22"/>
        <v>0</v>
      </c>
      <c r="AN76" s="15" t="str">
        <f t="shared" si="23"/>
        <v/>
      </c>
      <c r="AO76" s="15"/>
      <c r="AP76" s="16"/>
      <c r="AQ76" s="21"/>
      <c r="BC76" s="60">
        <f t="shared" si="17"/>
        <v>0</v>
      </c>
      <c r="BG76" s="58"/>
      <c r="BH76" s="58"/>
      <c r="BI76" s="10"/>
      <c r="BJ76" s="60">
        <f t="shared" si="24"/>
        <v>0</v>
      </c>
    </row>
    <row r="77" spans="1:62" s="17" customFormat="1" x14ac:dyDescent="0.3">
      <c r="A77" s="23">
        <v>75</v>
      </c>
      <c r="B77" s="7"/>
      <c r="C77" s="14"/>
      <c r="D77" s="14"/>
      <c r="E77" s="11"/>
      <c r="F77" s="14"/>
      <c r="G77" s="14"/>
      <c r="H77" s="11"/>
      <c r="I77" s="7"/>
      <c r="J77" s="14"/>
      <c r="K77" s="11"/>
      <c r="L77" s="7">
        <v>73</v>
      </c>
      <c r="M77" s="14"/>
      <c r="N77" s="11"/>
      <c r="O77" s="7">
        <v>73</v>
      </c>
      <c r="P77" s="14"/>
      <c r="Q77" s="11"/>
      <c r="R77" s="7">
        <v>73</v>
      </c>
      <c r="S77" s="14"/>
      <c r="T77" s="11"/>
      <c r="U77" s="14"/>
      <c r="V77" s="14"/>
      <c r="W77" s="11"/>
      <c r="X77" s="14"/>
      <c r="Y77" s="14"/>
      <c r="Z77" s="11"/>
      <c r="AA77" s="14"/>
      <c r="AB77" s="14"/>
      <c r="AC77" s="11"/>
      <c r="AD77" s="14"/>
      <c r="AE77" s="14"/>
      <c r="AF77" s="11" t="str">
        <f t="shared" si="18"/>
        <v/>
      </c>
      <c r="AG77" s="14"/>
      <c r="AH77" s="14"/>
      <c r="AI77" s="11" t="str">
        <f t="shared" si="19"/>
        <v/>
      </c>
      <c r="AJ77" s="14"/>
      <c r="AK77" s="11" t="str">
        <f t="shared" si="20"/>
        <v/>
      </c>
      <c r="AL77" s="11" t="str">
        <f t="shared" si="21"/>
        <v/>
      </c>
      <c r="AM77" s="11">
        <f t="shared" si="22"/>
        <v>0</v>
      </c>
      <c r="AN77" s="15" t="str">
        <f t="shared" si="23"/>
        <v/>
      </c>
      <c r="AO77" s="15"/>
      <c r="AP77" s="16"/>
      <c r="AQ77" s="21"/>
      <c r="BC77" s="60">
        <f t="shared" si="17"/>
        <v>0</v>
      </c>
      <c r="BG77" s="58"/>
      <c r="BH77" s="58"/>
      <c r="BI77" s="10"/>
      <c r="BJ77" s="60">
        <f t="shared" si="24"/>
        <v>0</v>
      </c>
    </row>
    <row r="78" spans="1:62" s="17" customFormat="1" x14ac:dyDescent="0.3">
      <c r="A78" s="23">
        <v>76</v>
      </c>
      <c r="B78" s="7"/>
      <c r="C78" s="14"/>
      <c r="D78" s="14"/>
      <c r="E78" s="11"/>
      <c r="F78" s="14"/>
      <c r="G78" s="14"/>
      <c r="H78" s="11"/>
      <c r="I78" s="7"/>
      <c r="J78" s="14"/>
      <c r="K78" s="11"/>
      <c r="L78" s="7">
        <v>74</v>
      </c>
      <c r="M78" s="14"/>
      <c r="N78" s="11"/>
      <c r="O78" s="7">
        <v>74</v>
      </c>
      <c r="P78" s="14"/>
      <c r="Q78" s="11"/>
      <c r="R78" s="7">
        <v>74</v>
      </c>
      <c r="S78" s="14"/>
      <c r="T78" s="11"/>
      <c r="U78" s="14"/>
      <c r="V78" s="14"/>
      <c r="W78" s="11"/>
      <c r="X78" s="14"/>
      <c r="Y78" s="14"/>
      <c r="Z78" s="11"/>
      <c r="AA78" s="14"/>
      <c r="AB78" s="14"/>
      <c r="AC78" s="11"/>
      <c r="AD78" s="14"/>
      <c r="AE78" s="14"/>
      <c r="AF78" s="11" t="str">
        <f t="shared" si="18"/>
        <v/>
      </c>
      <c r="AG78" s="14"/>
      <c r="AH78" s="14"/>
      <c r="AI78" s="11" t="str">
        <f t="shared" si="19"/>
        <v/>
      </c>
      <c r="AJ78" s="14"/>
      <c r="AK78" s="11" t="str">
        <f t="shared" si="20"/>
        <v/>
      </c>
      <c r="AL78" s="11" t="str">
        <f t="shared" si="21"/>
        <v/>
      </c>
      <c r="AM78" s="11">
        <f t="shared" si="22"/>
        <v>0</v>
      </c>
      <c r="AN78" s="15" t="str">
        <f t="shared" si="23"/>
        <v/>
      </c>
      <c r="AO78" s="15"/>
      <c r="AP78" s="16"/>
      <c r="AQ78" s="21"/>
      <c r="BC78" s="60">
        <f t="shared" si="17"/>
        <v>0</v>
      </c>
      <c r="BG78" s="58"/>
      <c r="BH78" s="58"/>
      <c r="BI78" s="10"/>
      <c r="BJ78" s="60">
        <f t="shared" si="24"/>
        <v>0</v>
      </c>
    </row>
    <row r="79" spans="1:62" s="17" customFormat="1" x14ac:dyDescent="0.3">
      <c r="A79" s="23">
        <v>77</v>
      </c>
      <c r="B79" s="7"/>
      <c r="C79" s="14"/>
      <c r="D79" s="14"/>
      <c r="E79" s="11"/>
      <c r="F79" s="14"/>
      <c r="G79" s="14"/>
      <c r="H79" s="11"/>
      <c r="I79" s="7"/>
      <c r="J79" s="14"/>
      <c r="K79" s="11"/>
      <c r="L79" s="7">
        <v>75</v>
      </c>
      <c r="M79" s="14"/>
      <c r="N79" s="11"/>
      <c r="O79" s="7">
        <v>75</v>
      </c>
      <c r="P79" s="14"/>
      <c r="Q79" s="11"/>
      <c r="R79" s="7">
        <v>75</v>
      </c>
      <c r="S79" s="14"/>
      <c r="T79" s="11"/>
      <c r="U79" s="14"/>
      <c r="V79" s="14"/>
      <c r="W79" s="11"/>
      <c r="X79" s="14"/>
      <c r="Y79" s="14"/>
      <c r="Z79" s="11"/>
      <c r="AA79" s="14"/>
      <c r="AB79" s="14"/>
      <c r="AC79" s="11"/>
      <c r="AD79" s="14"/>
      <c r="AE79" s="14"/>
      <c r="AF79" s="11" t="str">
        <f t="shared" si="18"/>
        <v/>
      </c>
      <c r="AG79" s="14"/>
      <c r="AH79" s="14"/>
      <c r="AI79" s="11" t="str">
        <f t="shared" si="19"/>
        <v/>
      </c>
      <c r="AJ79" s="14"/>
      <c r="AK79" s="11" t="str">
        <f t="shared" si="20"/>
        <v/>
      </c>
      <c r="AL79" s="11" t="str">
        <f t="shared" si="21"/>
        <v/>
      </c>
      <c r="AM79" s="11">
        <f t="shared" si="22"/>
        <v>0</v>
      </c>
      <c r="AN79" s="15" t="str">
        <f t="shared" si="23"/>
        <v/>
      </c>
      <c r="AO79" s="15"/>
      <c r="AP79" s="16"/>
      <c r="AQ79" s="21"/>
      <c r="BC79" s="60">
        <f t="shared" si="17"/>
        <v>0</v>
      </c>
      <c r="BG79" s="58"/>
      <c r="BH79" s="58"/>
      <c r="BI79" s="10"/>
      <c r="BJ79" s="60">
        <f t="shared" si="24"/>
        <v>0</v>
      </c>
    </row>
    <row r="80" spans="1:62" s="17" customFormat="1" x14ac:dyDescent="0.3">
      <c r="A80" s="23">
        <v>78</v>
      </c>
      <c r="B80" s="7"/>
      <c r="C80" s="14"/>
      <c r="D80" s="14"/>
      <c r="E80" s="11"/>
      <c r="F80" s="14"/>
      <c r="G80" s="14"/>
      <c r="H80" s="11"/>
      <c r="I80" s="7"/>
      <c r="J80" s="14"/>
      <c r="K80" s="11"/>
      <c r="L80" s="7">
        <v>76</v>
      </c>
      <c r="M80" s="14"/>
      <c r="N80" s="11"/>
      <c r="O80" s="7">
        <v>76</v>
      </c>
      <c r="P80" s="14"/>
      <c r="Q80" s="11"/>
      <c r="R80" s="7">
        <v>76</v>
      </c>
      <c r="S80" s="14"/>
      <c r="T80" s="11"/>
      <c r="U80" s="14"/>
      <c r="V80" s="14"/>
      <c r="W80" s="11"/>
      <c r="X80" s="14"/>
      <c r="Y80" s="14"/>
      <c r="Z80" s="11"/>
      <c r="AA80" s="14"/>
      <c r="AB80" s="14"/>
      <c r="AC80" s="11"/>
      <c r="AD80" s="14"/>
      <c r="AE80" s="14"/>
      <c r="AF80" s="11" t="str">
        <f t="shared" si="18"/>
        <v/>
      </c>
      <c r="AG80" s="14"/>
      <c r="AH80" s="14"/>
      <c r="AI80" s="11" t="str">
        <f t="shared" si="19"/>
        <v/>
      </c>
      <c r="AJ80" s="14"/>
      <c r="AK80" s="11" t="str">
        <f t="shared" si="20"/>
        <v/>
      </c>
      <c r="AL80" s="11" t="str">
        <f t="shared" si="21"/>
        <v/>
      </c>
      <c r="AM80" s="11">
        <f t="shared" si="22"/>
        <v>0</v>
      </c>
      <c r="AN80" s="15" t="str">
        <f t="shared" si="23"/>
        <v/>
      </c>
      <c r="AO80" s="15"/>
      <c r="AP80" s="16"/>
      <c r="AQ80" s="21"/>
      <c r="BC80" s="60">
        <f t="shared" si="17"/>
        <v>0</v>
      </c>
      <c r="BG80" s="58"/>
      <c r="BH80" s="58"/>
      <c r="BI80" s="10"/>
      <c r="BJ80" s="60">
        <f t="shared" si="24"/>
        <v>0</v>
      </c>
    </row>
    <row r="81" spans="1:62" s="17" customFormat="1" x14ac:dyDescent="0.3">
      <c r="A81" s="23">
        <v>79</v>
      </c>
      <c r="B81" s="7"/>
      <c r="C81" s="14"/>
      <c r="D81" s="14"/>
      <c r="E81" s="11"/>
      <c r="F81" s="14"/>
      <c r="G81" s="14"/>
      <c r="H81" s="11"/>
      <c r="I81" s="7"/>
      <c r="J81" s="14"/>
      <c r="K81" s="11"/>
      <c r="L81" s="7">
        <v>77</v>
      </c>
      <c r="M81" s="14"/>
      <c r="N81" s="11"/>
      <c r="O81" s="7">
        <v>77</v>
      </c>
      <c r="P81" s="14"/>
      <c r="Q81" s="11"/>
      <c r="R81" s="7">
        <v>77</v>
      </c>
      <c r="S81" s="14"/>
      <c r="T81" s="11"/>
      <c r="U81" s="14"/>
      <c r="V81" s="14"/>
      <c r="W81" s="11"/>
      <c r="X81" s="14"/>
      <c r="Y81" s="14"/>
      <c r="Z81" s="11"/>
      <c r="AA81" s="14"/>
      <c r="AB81" s="14"/>
      <c r="AC81" s="11"/>
      <c r="AD81" s="14"/>
      <c r="AE81" s="14"/>
      <c r="AF81" s="11" t="str">
        <f t="shared" si="18"/>
        <v/>
      </c>
      <c r="AG81" s="14"/>
      <c r="AH81" s="14"/>
      <c r="AI81" s="11" t="str">
        <f t="shared" si="19"/>
        <v/>
      </c>
      <c r="AJ81" s="14"/>
      <c r="AK81" s="11" t="str">
        <f t="shared" si="20"/>
        <v/>
      </c>
      <c r="AL81" s="11" t="str">
        <f t="shared" si="21"/>
        <v/>
      </c>
      <c r="AM81" s="11">
        <f t="shared" si="22"/>
        <v>0</v>
      </c>
      <c r="AN81" s="15" t="str">
        <f t="shared" si="23"/>
        <v/>
      </c>
      <c r="AO81" s="15"/>
      <c r="AP81" s="16"/>
      <c r="AQ81" s="21"/>
      <c r="BC81" s="60">
        <f t="shared" si="17"/>
        <v>0</v>
      </c>
      <c r="BG81" s="58"/>
      <c r="BH81" s="58"/>
      <c r="BI81" s="10"/>
      <c r="BJ81" s="60">
        <f t="shared" si="24"/>
        <v>0</v>
      </c>
    </row>
    <row r="82" spans="1:62" s="17" customFormat="1" x14ac:dyDescent="0.3">
      <c r="A82" s="23">
        <v>80</v>
      </c>
      <c r="B82" s="7"/>
      <c r="C82" s="14"/>
      <c r="D82" s="14"/>
      <c r="E82" s="11"/>
      <c r="F82" s="14"/>
      <c r="G82" s="14"/>
      <c r="H82" s="11"/>
      <c r="I82" s="7"/>
      <c r="J82" s="14"/>
      <c r="K82" s="11"/>
      <c r="L82" s="7">
        <v>78</v>
      </c>
      <c r="M82" s="14"/>
      <c r="N82" s="11"/>
      <c r="O82" s="7">
        <v>78</v>
      </c>
      <c r="P82" s="14"/>
      <c r="Q82" s="11"/>
      <c r="R82" s="7">
        <v>78</v>
      </c>
      <c r="S82" s="14"/>
      <c r="T82" s="11"/>
      <c r="U82" s="14"/>
      <c r="V82" s="14"/>
      <c r="W82" s="11"/>
      <c r="X82" s="14"/>
      <c r="Y82" s="14"/>
      <c r="Z82" s="11"/>
      <c r="AA82" s="14"/>
      <c r="AB82" s="14"/>
      <c r="AC82" s="11"/>
      <c r="AD82" s="14"/>
      <c r="AE82" s="14"/>
      <c r="AF82" s="11" t="str">
        <f t="shared" si="18"/>
        <v/>
      </c>
      <c r="AG82" s="14"/>
      <c r="AH82" s="14"/>
      <c r="AI82" s="11" t="str">
        <f t="shared" si="19"/>
        <v/>
      </c>
      <c r="AJ82" s="14"/>
      <c r="AK82" s="11" t="str">
        <f t="shared" si="20"/>
        <v/>
      </c>
      <c r="AL82" s="11" t="str">
        <f t="shared" si="21"/>
        <v/>
      </c>
      <c r="AM82" s="11">
        <f t="shared" si="22"/>
        <v>0</v>
      </c>
      <c r="AN82" s="15" t="str">
        <f t="shared" si="23"/>
        <v/>
      </c>
      <c r="AO82" s="15"/>
      <c r="AP82" s="16"/>
      <c r="AQ82" s="21"/>
      <c r="BC82" s="60">
        <f t="shared" si="17"/>
        <v>0</v>
      </c>
      <c r="BG82" s="58"/>
      <c r="BH82" s="58"/>
      <c r="BI82" s="10"/>
      <c r="BJ82" s="60">
        <f t="shared" si="24"/>
        <v>0</v>
      </c>
    </row>
    <row r="83" spans="1:62" s="17" customFormat="1" x14ac:dyDescent="0.3">
      <c r="A83" s="23">
        <v>81</v>
      </c>
      <c r="B83" s="7"/>
      <c r="C83" s="14"/>
      <c r="D83" s="14"/>
      <c r="E83" s="11"/>
      <c r="F83" s="14"/>
      <c r="G83" s="14"/>
      <c r="H83" s="11"/>
      <c r="I83" s="7"/>
      <c r="J83" s="14"/>
      <c r="K83" s="11"/>
      <c r="L83" s="7">
        <v>79</v>
      </c>
      <c r="M83" s="14"/>
      <c r="N83" s="11"/>
      <c r="O83" s="7">
        <v>79</v>
      </c>
      <c r="P83" s="14"/>
      <c r="Q83" s="11"/>
      <c r="R83" s="7">
        <v>79</v>
      </c>
      <c r="S83" s="14"/>
      <c r="T83" s="11"/>
      <c r="U83" s="14"/>
      <c r="V83" s="14"/>
      <c r="W83" s="11"/>
      <c r="X83" s="14"/>
      <c r="Y83" s="14"/>
      <c r="Z83" s="11"/>
      <c r="AA83" s="14"/>
      <c r="AB83" s="14"/>
      <c r="AC83" s="11"/>
      <c r="AD83" s="14"/>
      <c r="AE83" s="14"/>
      <c r="AF83" s="11" t="str">
        <f t="shared" si="18"/>
        <v/>
      </c>
      <c r="AG83" s="14"/>
      <c r="AH83" s="14"/>
      <c r="AI83" s="11" t="str">
        <f t="shared" si="19"/>
        <v/>
      </c>
      <c r="AJ83" s="14"/>
      <c r="AK83" s="11" t="str">
        <f t="shared" si="20"/>
        <v/>
      </c>
      <c r="AL83" s="11" t="str">
        <f t="shared" si="21"/>
        <v/>
      </c>
      <c r="AM83" s="11">
        <f t="shared" si="22"/>
        <v>0</v>
      </c>
      <c r="AN83" s="15" t="str">
        <f t="shared" si="23"/>
        <v/>
      </c>
      <c r="AO83" s="15"/>
      <c r="AP83" s="16"/>
      <c r="AQ83" s="21"/>
      <c r="BC83" s="60">
        <f t="shared" si="17"/>
        <v>0</v>
      </c>
      <c r="BG83" s="58"/>
      <c r="BH83" s="58"/>
      <c r="BI83" s="10"/>
      <c r="BJ83" s="60">
        <f t="shared" si="24"/>
        <v>0</v>
      </c>
    </row>
    <row r="84" spans="1:62" s="17" customFormat="1" x14ac:dyDescent="0.3">
      <c r="A84" s="23">
        <v>82</v>
      </c>
      <c r="B84" s="7"/>
      <c r="C84" s="14"/>
      <c r="D84" s="14"/>
      <c r="E84" s="11"/>
      <c r="F84" s="14"/>
      <c r="G84" s="14"/>
      <c r="H84" s="11"/>
      <c r="I84" s="7"/>
      <c r="J84" s="14"/>
      <c r="K84" s="11"/>
      <c r="L84" s="7">
        <v>80</v>
      </c>
      <c r="M84" s="14"/>
      <c r="N84" s="11"/>
      <c r="O84" s="7">
        <v>80</v>
      </c>
      <c r="P84" s="14"/>
      <c r="Q84" s="11"/>
      <c r="R84" s="7">
        <v>80</v>
      </c>
      <c r="S84" s="14"/>
      <c r="T84" s="11"/>
      <c r="U84" s="14"/>
      <c r="V84" s="14"/>
      <c r="W84" s="11"/>
      <c r="X84" s="14"/>
      <c r="Y84" s="14"/>
      <c r="Z84" s="11"/>
      <c r="AA84" s="14"/>
      <c r="AB84" s="14"/>
      <c r="AC84" s="11"/>
      <c r="AD84" s="14"/>
      <c r="AE84" s="14"/>
      <c r="AF84" s="11" t="str">
        <f t="shared" si="18"/>
        <v/>
      </c>
      <c r="AG84" s="14"/>
      <c r="AH84" s="14"/>
      <c r="AI84" s="11" t="str">
        <f t="shared" si="19"/>
        <v/>
      </c>
      <c r="AJ84" s="14"/>
      <c r="AK84" s="11" t="str">
        <f t="shared" si="20"/>
        <v/>
      </c>
      <c r="AL84" s="11" t="str">
        <f t="shared" si="21"/>
        <v/>
      </c>
      <c r="AM84" s="11">
        <f t="shared" si="22"/>
        <v>0</v>
      </c>
      <c r="AN84" s="15" t="str">
        <f t="shared" si="23"/>
        <v/>
      </c>
      <c r="AO84" s="15"/>
      <c r="AP84" s="16"/>
      <c r="AQ84" s="21"/>
      <c r="BC84" s="60">
        <f t="shared" si="17"/>
        <v>0</v>
      </c>
      <c r="BG84" s="58"/>
      <c r="BH84" s="58"/>
      <c r="BI84" s="10"/>
      <c r="BJ84" s="60">
        <f t="shared" si="24"/>
        <v>0</v>
      </c>
    </row>
    <row r="85" spans="1:62" s="17" customFormat="1" x14ac:dyDescent="0.3">
      <c r="A85" s="23">
        <v>83</v>
      </c>
      <c r="B85" s="7"/>
      <c r="C85" s="14"/>
      <c r="D85" s="14"/>
      <c r="E85" s="11"/>
      <c r="F85" s="14"/>
      <c r="G85" s="14"/>
      <c r="H85" s="11"/>
      <c r="I85" s="7"/>
      <c r="J85" s="14"/>
      <c r="K85" s="11"/>
      <c r="L85" s="7">
        <v>81</v>
      </c>
      <c r="M85" s="14"/>
      <c r="N85" s="11"/>
      <c r="O85" s="7">
        <v>81</v>
      </c>
      <c r="P85" s="14"/>
      <c r="Q85" s="11"/>
      <c r="R85" s="7">
        <v>81</v>
      </c>
      <c r="S85" s="14"/>
      <c r="T85" s="11"/>
      <c r="U85" s="14"/>
      <c r="V85" s="14"/>
      <c r="W85" s="11"/>
      <c r="X85" s="14"/>
      <c r="Y85" s="14"/>
      <c r="Z85" s="11"/>
      <c r="AA85" s="14"/>
      <c r="AB85" s="14"/>
      <c r="AC85" s="11"/>
      <c r="AD85" s="14"/>
      <c r="AE85" s="14"/>
      <c r="AF85" s="11" t="str">
        <f t="shared" si="18"/>
        <v/>
      </c>
      <c r="AG85" s="14"/>
      <c r="AH85" s="14"/>
      <c r="AI85" s="11" t="str">
        <f t="shared" si="19"/>
        <v/>
      </c>
      <c r="AJ85" s="14"/>
      <c r="AK85" s="11" t="str">
        <f t="shared" si="20"/>
        <v/>
      </c>
      <c r="AL85" s="11" t="str">
        <f t="shared" si="21"/>
        <v/>
      </c>
      <c r="AM85" s="11">
        <f t="shared" si="22"/>
        <v>0</v>
      </c>
      <c r="AN85" s="15" t="str">
        <f t="shared" si="23"/>
        <v/>
      </c>
      <c r="AO85" s="15"/>
      <c r="AP85" s="16"/>
      <c r="AQ85" s="21"/>
      <c r="BC85" s="60">
        <f t="shared" si="17"/>
        <v>0</v>
      </c>
      <c r="BG85" s="58"/>
      <c r="BH85" s="58"/>
      <c r="BI85" s="10"/>
      <c r="BJ85" s="60">
        <f t="shared" si="24"/>
        <v>0</v>
      </c>
    </row>
    <row r="86" spans="1:62" s="17" customFormat="1" x14ac:dyDescent="0.3">
      <c r="A86" s="23">
        <v>84</v>
      </c>
      <c r="B86" s="7"/>
      <c r="C86" s="14"/>
      <c r="D86" s="14"/>
      <c r="E86" s="11"/>
      <c r="F86" s="14"/>
      <c r="G86" s="14"/>
      <c r="H86" s="11"/>
      <c r="I86" s="7"/>
      <c r="J86" s="14"/>
      <c r="K86" s="11"/>
      <c r="L86" s="7">
        <v>82</v>
      </c>
      <c r="M86" s="14"/>
      <c r="N86" s="11"/>
      <c r="O86" s="7">
        <v>82</v>
      </c>
      <c r="P86" s="14"/>
      <c r="Q86" s="11"/>
      <c r="R86" s="7">
        <v>82</v>
      </c>
      <c r="S86" s="14"/>
      <c r="T86" s="11"/>
      <c r="U86" s="14"/>
      <c r="V86" s="14"/>
      <c r="W86" s="11"/>
      <c r="X86" s="14"/>
      <c r="Y86" s="14"/>
      <c r="Z86" s="11"/>
      <c r="AA86" s="14"/>
      <c r="AB86" s="14"/>
      <c r="AC86" s="11"/>
      <c r="AD86" s="14"/>
      <c r="AE86" s="14"/>
      <c r="AF86" s="11" t="str">
        <f t="shared" si="18"/>
        <v/>
      </c>
      <c r="AG86" s="14"/>
      <c r="AH86" s="14"/>
      <c r="AI86" s="11" t="str">
        <f t="shared" si="19"/>
        <v/>
      </c>
      <c r="AJ86" s="14"/>
      <c r="AK86" s="11" t="str">
        <f t="shared" si="20"/>
        <v/>
      </c>
      <c r="AL86" s="11" t="str">
        <f t="shared" si="21"/>
        <v/>
      </c>
      <c r="AM86" s="11">
        <f t="shared" si="22"/>
        <v>0</v>
      </c>
      <c r="AN86" s="15" t="str">
        <f t="shared" si="23"/>
        <v/>
      </c>
      <c r="AO86" s="15"/>
      <c r="AP86" s="16"/>
      <c r="AQ86" s="21"/>
      <c r="BC86" s="60">
        <f t="shared" si="17"/>
        <v>0</v>
      </c>
      <c r="BG86" s="58"/>
      <c r="BH86" s="58"/>
      <c r="BI86" s="10"/>
      <c r="BJ86" s="60">
        <f t="shared" si="24"/>
        <v>0</v>
      </c>
    </row>
    <row r="87" spans="1:62" s="17" customFormat="1" x14ac:dyDescent="0.3">
      <c r="A87" s="23">
        <v>85</v>
      </c>
      <c r="B87" s="7"/>
      <c r="C87" s="14"/>
      <c r="D87" s="14"/>
      <c r="E87" s="11"/>
      <c r="F87" s="14"/>
      <c r="G87" s="14"/>
      <c r="H87" s="11"/>
      <c r="I87" s="7"/>
      <c r="J87" s="14"/>
      <c r="K87" s="11"/>
      <c r="L87" s="7">
        <v>83</v>
      </c>
      <c r="M87" s="14"/>
      <c r="N87" s="11"/>
      <c r="O87" s="7">
        <v>83</v>
      </c>
      <c r="P87" s="14"/>
      <c r="Q87" s="11"/>
      <c r="R87" s="7">
        <v>83</v>
      </c>
      <c r="S87" s="14"/>
      <c r="T87" s="11"/>
      <c r="U87" s="14"/>
      <c r="V87" s="14"/>
      <c r="W87" s="11"/>
      <c r="X87" s="14"/>
      <c r="Y87" s="14"/>
      <c r="Z87" s="11"/>
      <c r="AA87" s="14"/>
      <c r="AB87" s="14"/>
      <c r="AC87" s="11"/>
      <c r="AD87" s="14"/>
      <c r="AE87" s="14"/>
      <c r="AF87" s="11" t="str">
        <f t="shared" si="18"/>
        <v/>
      </c>
      <c r="AG87" s="14"/>
      <c r="AH87" s="14"/>
      <c r="AI87" s="11" t="str">
        <f t="shared" si="19"/>
        <v/>
      </c>
      <c r="AJ87" s="14"/>
      <c r="AK87" s="11" t="str">
        <f t="shared" si="20"/>
        <v/>
      </c>
      <c r="AL87" s="11" t="str">
        <f t="shared" si="21"/>
        <v/>
      </c>
      <c r="AM87" s="11">
        <f t="shared" si="22"/>
        <v>0</v>
      </c>
      <c r="AN87" s="15" t="str">
        <f t="shared" si="23"/>
        <v/>
      </c>
      <c r="AO87" s="15"/>
      <c r="AP87" s="16"/>
      <c r="AQ87" s="21"/>
      <c r="BC87" s="60">
        <f t="shared" si="17"/>
        <v>0</v>
      </c>
      <c r="BG87" s="58"/>
      <c r="BH87" s="58"/>
      <c r="BI87" s="10"/>
      <c r="BJ87" s="60">
        <f t="shared" si="24"/>
        <v>0</v>
      </c>
    </row>
    <row r="88" spans="1:62" s="17" customFormat="1" x14ac:dyDescent="0.3">
      <c r="A88" s="23">
        <v>86</v>
      </c>
      <c r="B88" s="7"/>
      <c r="C88" s="14"/>
      <c r="D88" s="14"/>
      <c r="E88" s="11"/>
      <c r="F88" s="14"/>
      <c r="G88" s="14"/>
      <c r="H88" s="11"/>
      <c r="I88" s="7"/>
      <c r="J88" s="14"/>
      <c r="K88" s="11"/>
      <c r="L88" s="7">
        <v>84</v>
      </c>
      <c r="M88" s="14"/>
      <c r="N88" s="11"/>
      <c r="O88" s="7">
        <v>84</v>
      </c>
      <c r="P88" s="14"/>
      <c r="Q88" s="11"/>
      <c r="R88" s="7">
        <v>84</v>
      </c>
      <c r="S88" s="14"/>
      <c r="T88" s="11"/>
      <c r="U88" s="14"/>
      <c r="V88" s="14"/>
      <c r="W88" s="11"/>
      <c r="X88" s="14"/>
      <c r="Y88" s="14"/>
      <c r="Z88" s="11"/>
      <c r="AA88" s="14"/>
      <c r="AB88" s="14"/>
      <c r="AC88" s="11"/>
      <c r="AD88" s="14"/>
      <c r="AE88" s="14"/>
      <c r="AF88" s="11" t="str">
        <f t="shared" si="18"/>
        <v/>
      </c>
      <c r="AG88" s="14"/>
      <c r="AH88" s="14"/>
      <c r="AI88" s="11" t="str">
        <f t="shared" si="19"/>
        <v/>
      </c>
      <c r="AJ88" s="14"/>
      <c r="AK88" s="11" t="str">
        <f t="shared" si="20"/>
        <v/>
      </c>
      <c r="AL88" s="11" t="str">
        <f t="shared" si="21"/>
        <v/>
      </c>
      <c r="AM88" s="11">
        <f t="shared" si="22"/>
        <v>0</v>
      </c>
      <c r="AN88" s="15" t="str">
        <f t="shared" si="23"/>
        <v/>
      </c>
      <c r="AO88" s="15"/>
      <c r="AP88" s="16"/>
      <c r="AQ88" s="21"/>
      <c r="BC88" s="60">
        <f t="shared" si="17"/>
        <v>0</v>
      </c>
      <c r="BG88" s="58"/>
      <c r="BH88" s="58"/>
      <c r="BI88" s="10"/>
      <c r="BJ88" s="60">
        <f t="shared" si="24"/>
        <v>0</v>
      </c>
    </row>
    <row r="89" spans="1:62" s="17" customFormat="1" x14ac:dyDescent="0.3">
      <c r="A89" s="23">
        <v>87</v>
      </c>
      <c r="B89" s="7"/>
      <c r="C89" s="14"/>
      <c r="D89" s="14"/>
      <c r="E89" s="11"/>
      <c r="F89" s="14"/>
      <c r="G89" s="14"/>
      <c r="H89" s="11"/>
      <c r="I89" s="7"/>
      <c r="J89" s="14"/>
      <c r="K89" s="11"/>
      <c r="L89" s="7">
        <v>85</v>
      </c>
      <c r="M89" s="14"/>
      <c r="N89" s="11"/>
      <c r="O89" s="7">
        <v>85</v>
      </c>
      <c r="P89" s="14"/>
      <c r="Q89" s="11"/>
      <c r="R89" s="7">
        <v>85</v>
      </c>
      <c r="S89" s="14"/>
      <c r="T89" s="11"/>
      <c r="U89" s="14"/>
      <c r="V89" s="14"/>
      <c r="W89" s="11"/>
      <c r="X89" s="14"/>
      <c r="Y89" s="14"/>
      <c r="Z89" s="11"/>
      <c r="AA89" s="14"/>
      <c r="AB89" s="14"/>
      <c r="AC89" s="11"/>
      <c r="AD89" s="14"/>
      <c r="AE89" s="14"/>
      <c r="AF89" s="11" t="str">
        <f t="shared" si="18"/>
        <v/>
      </c>
      <c r="AG89" s="14"/>
      <c r="AH89" s="14"/>
      <c r="AI89" s="11" t="str">
        <f t="shared" si="19"/>
        <v/>
      </c>
      <c r="AJ89" s="14"/>
      <c r="AK89" s="11" t="str">
        <f t="shared" si="20"/>
        <v/>
      </c>
      <c r="AL89" s="11" t="str">
        <f t="shared" si="21"/>
        <v/>
      </c>
      <c r="AM89" s="11">
        <f t="shared" si="22"/>
        <v>0</v>
      </c>
      <c r="AN89" s="15" t="str">
        <f t="shared" si="23"/>
        <v/>
      </c>
      <c r="AO89" s="15"/>
      <c r="AP89" s="16"/>
      <c r="AQ89" s="21"/>
      <c r="BC89" s="60">
        <f t="shared" si="17"/>
        <v>0</v>
      </c>
      <c r="BG89" s="58"/>
      <c r="BH89" s="58"/>
      <c r="BI89" s="10"/>
      <c r="BJ89" s="60">
        <f t="shared" si="24"/>
        <v>0</v>
      </c>
    </row>
    <row r="90" spans="1:62" s="17" customFormat="1" x14ac:dyDescent="0.3">
      <c r="A90" s="23">
        <v>88</v>
      </c>
      <c r="B90" s="7"/>
      <c r="C90" s="14"/>
      <c r="D90" s="14"/>
      <c r="E90" s="11"/>
      <c r="F90" s="14"/>
      <c r="G90" s="14"/>
      <c r="H90" s="11"/>
      <c r="I90" s="7"/>
      <c r="J90" s="14"/>
      <c r="K90" s="11"/>
      <c r="L90" s="7">
        <v>86</v>
      </c>
      <c r="M90" s="14"/>
      <c r="N90" s="11"/>
      <c r="O90" s="7">
        <v>86</v>
      </c>
      <c r="P90" s="14"/>
      <c r="Q90" s="11"/>
      <c r="R90" s="7">
        <v>86</v>
      </c>
      <c r="S90" s="14"/>
      <c r="T90" s="11"/>
      <c r="U90" s="14"/>
      <c r="V90" s="14"/>
      <c r="W90" s="11"/>
      <c r="X90" s="14"/>
      <c r="Y90" s="14"/>
      <c r="Z90" s="11"/>
      <c r="AA90" s="14"/>
      <c r="AB90" s="14"/>
      <c r="AC90" s="11"/>
      <c r="AD90" s="14"/>
      <c r="AE90" s="14"/>
      <c r="AF90" s="11" t="str">
        <f t="shared" si="18"/>
        <v/>
      </c>
      <c r="AG90" s="14"/>
      <c r="AH90" s="14"/>
      <c r="AI90" s="11" t="str">
        <f t="shared" si="19"/>
        <v/>
      </c>
      <c r="AJ90" s="14"/>
      <c r="AK90" s="11" t="str">
        <f t="shared" si="20"/>
        <v/>
      </c>
      <c r="AL90" s="11" t="str">
        <f t="shared" si="21"/>
        <v/>
      </c>
      <c r="AM90" s="11">
        <f t="shared" si="22"/>
        <v>0</v>
      </c>
      <c r="AN90" s="15" t="str">
        <f t="shared" si="23"/>
        <v/>
      </c>
      <c r="AO90" s="15"/>
      <c r="AP90" s="16"/>
      <c r="AQ90" s="21"/>
      <c r="BC90" s="60">
        <f t="shared" si="17"/>
        <v>0</v>
      </c>
      <c r="BG90" s="58"/>
      <c r="BH90" s="58"/>
      <c r="BI90" s="10"/>
      <c r="BJ90" s="60">
        <f t="shared" si="24"/>
        <v>0</v>
      </c>
    </row>
    <row r="91" spans="1:62" s="17" customFormat="1" x14ac:dyDescent="0.3">
      <c r="A91" s="23">
        <v>89</v>
      </c>
      <c r="B91" s="7"/>
      <c r="C91" s="14"/>
      <c r="D91" s="14"/>
      <c r="E91" s="11"/>
      <c r="F91" s="14"/>
      <c r="G91" s="14"/>
      <c r="H91" s="11"/>
      <c r="I91" s="7"/>
      <c r="J91" s="14"/>
      <c r="K91" s="11"/>
      <c r="L91" s="7">
        <v>87</v>
      </c>
      <c r="M91" s="14"/>
      <c r="N91" s="11"/>
      <c r="O91" s="7">
        <v>87</v>
      </c>
      <c r="P91" s="14"/>
      <c r="Q91" s="11"/>
      <c r="R91" s="7">
        <v>87</v>
      </c>
      <c r="S91" s="14"/>
      <c r="T91" s="11"/>
      <c r="U91" s="14"/>
      <c r="V91" s="14"/>
      <c r="W91" s="11"/>
      <c r="X91" s="14"/>
      <c r="Y91" s="14"/>
      <c r="Z91" s="11"/>
      <c r="AA91" s="14"/>
      <c r="AB91" s="14"/>
      <c r="AC91" s="11"/>
      <c r="AD91" s="14"/>
      <c r="AE91" s="14"/>
      <c r="AF91" s="11" t="str">
        <f t="shared" si="18"/>
        <v/>
      </c>
      <c r="AG91" s="14"/>
      <c r="AH91" s="14"/>
      <c r="AI91" s="11" t="str">
        <f t="shared" si="19"/>
        <v/>
      </c>
      <c r="AJ91" s="14"/>
      <c r="AK91" s="11" t="str">
        <f t="shared" si="20"/>
        <v/>
      </c>
      <c r="AL91" s="11" t="str">
        <f t="shared" si="21"/>
        <v/>
      </c>
      <c r="AM91" s="11">
        <f t="shared" si="22"/>
        <v>0</v>
      </c>
      <c r="AN91" s="15" t="str">
        <f t="shared" si="23"/>
        <v/>
      </c>
      <c r="AO91" s="15"/>
      <c r="AP91" s="16"/>
      <c r="AQ91" s="21"/>
      <c r="BC91" s="60">
        <f t="shared" si="17"/>
        <v>0</v>
      </c>
      <c r="BJ91" s="60">
        <f t="shared" si="24"/>
        <v>0</v>
      </c>
    </row>
    <row r="92" spans="1:62" s="17" customFormat="1" x14ac:dyDescent="0.3">
      <c r="A92" s="23">
        <v>90</v>
      </c>
      <c r="B92" s="7"/>
      <c r="C92" s="14"/>
      <c r="D92" s="14"/>
      <c r="E92" s="11"/>
      <c r="F92" s="14"/>
      <c r="G92" s="14"/>
      <c r="H92" s="11"/>
      <c r="I92" s="7"/>
      <c r="J92" s="14"/>
      <c r="K92" s="11"/>
      <c r="L92" s="7">
        <v>88</v>
      </c>
      <c r="M92" s="14"/>
      <c r="N92" s="11"/>
      <c r="O92" s="7">
        <v>88</v>
      </c>
      <c r="P92" s="14"/>
      <c r="Q92" s="11"/>
      <c r="R92" s="7">
        <v>88</v>
      </c>
      <c r="S92" s="14"/>
      <c r="T92" s="11"/>
      <c r="U92" s="14"/>
      <c r="V92" s="14"/>
      <c r="W92" s="11"/>
      <c r="X92" s="14"/>
      <c r="Y92" s="14"/>
      <c r="Z92" s="11"/>
      <c r="AA92" s="14"/>
      <c r="AB92" s="14"/>
      <c r="AC92" s="11"/>
      <c r="AD92" s="14"/>
      <c r="AE92" s="14"/>
      <c r="AF92" s="11" t="str">
        <f t="shared" si="18"/>
        <v/>
      </c>
      <c r="AG92" s="14"/>
      <c r="AH92" s="14"/>
      <c r="AI92" s="11" t="str">
        <f t="shared" si="19"/>
        <v/>
      </c>
      <c r="AJ92" s="14"/>
      <c r="AK92" s="11" t="str">
        <f t="shared" si="20"/>
        <v/>
      </c>
      <c r="AL92" s="11" t="str">
        <f t="shared" si="21"/>
        <v/>
      </c>
      <c r="AM92" s="11">
        <f t="shared" si="22"/>
        <v>0</v>
      </c>
      <c r="AN92" s="15" t="str">
        <f t="shared" si="23"/>
        <v/>
      </c>
      <c r="AO92" s="15"/>
      <c r="AP92" s="16"/>
      <c r="AQ92" s="21"/>
      <c r="BC92" s="60">
        <f t="shared" si="17"/>
        <v>0</v>
      </c>
      <c r="BJ92" s="60">
        <f t="shared" si="24"/>
        <v>0</v>
      </c>
    </row>
    <row r="93" spans="1:62" s="17" customFormat="1" x14ac:dyDescent="0.3">
      <c r="A93" s="23">
        <v>91</v>
      </c>
      <c r="B93" s="7"/>
      <c r="C93" s="14"/>
      <c r="D93" s="14"/>
      <c r="E93" s="11"/>
      <c r="F93" s="14"/>
      <c r="G93" s="14"/>
      <c r="H93" s="11"/>
      <c r="I93" s="7"/>
      <c r="J93" s="14"/>
      <c r="K93" s="11"/>
      <c r="L93" s="7">
        <v>89</v>
      </c>
      <c r="M93" s="14"/>
      <c r="N93" s="11"/>
      <c r="O93" s="7">
        <v>89</v>
      </c>
      <c r="P93" s="14"/>
      <c r="Q93" s="11"/>
      <c r="R93" s="7">
        <v>89</v>
      </c>
      <c r="S93" s="14"/>
      <c r="T93" s="11"/>
      <c r="U93" s="14"/>
      <c r="V93" s="14"/>
      <c r="W93" s="11"/>
      <c r="X93" s="14"/>
      <c r="Y93" s="14"/>
      <c r="Z93" s="11"/>
      <c r="AA93" s="14"/>
      <c r="AB93" s="14"/>
      <c r="AC93" s="11"/>
      <c r="AD93" s="14"/>
      <c r="AE93" s="14"/>
      <c r="AF93" s="11" t="str">
        <f t="shared" si="18"/>
        <v/>
      </c>
      <c r="AG93" s="14"/>
      <c r="AH93" s="14"/>
      <c r="AI93" s="11" t="str">
        <f t="shared" si="19"/>
        <v/>
      </c>
      <c r="AJ93" s="14"/>
      <c r="AK93" s="11" t="str">
        <f t="shared" si="20"/>
        <v/>
      </c>
      <c r="AL93" s="11" t="str">
        <f t="shared" si="21"/>
        <v/>
      </c>
      <c r="AM93" s="11">
        <f t="shared" si="22"/>
        <v>0</v>
      </c>
      <c r="AN93" s="15" t="str">
        <f t="shared" si="23"/>
        <v/>
      </c>
      <c r="AO93" s="15"/>
      <c r="AP93" s="16"/>
      <c r="AQ93" s="21"/>
      <c r="BC93" s="60">
        <f t="shared" si="17"/>
        <v>0</v>
      </c>
      <c r="BJ93" s="60">
        <f t="shared" si="24"/>
        <v>0</v>
      </c>
    </row>
    <row r="94" spans="1:62" s="17" customFormat="1" x14ac:dyDescent="0.3">
      <c r="A94" s="23">
        <v>92</v>
      </c>
      <c r="B94" s="7"/>
      <c r="C94" s="14"/>
      <c r="D94" s="14"/>
      <c r="E94" s="11"/>
      <c r="F94" s="14"/>
      <c r="G94" s="14"/>
      <c r="H94" s="11"/>
      <c r="I94" s="7"/>
      <c r="J94" s="14"/>
      <c r="K94" s="11"/>
      <c r="L94" s="7">
        <v>90</v>
      </c>
      <c r="M94" s="14"/>
      <c r="N94" s="11"/>
      <c r="O94" s="7">
        <v>90</v>
      </c>
      <c r="P94" s="14"/>
      <c r="Q94" s="11"/>
      <c r="R94" s="7">
        <v>90</v>
      </c>
      <c r="S94" s="14"/>
      <c r="T94" s="11"/>
      <c r="U94" s="14"/>
      <c r="V94" s="14"/>
      <c r="W94" s="11"/>
      <c r="X94" s="14"/>
      <c r="Y94" s="14"/>
      <c r="Z94" s="11"/>
      <c r="AA94" s="14"/>
      <c r="AB94" s="14"/>
      <c r="AC94" s="11"/>
      <c r="AD94" s="14"/>
      <c r="AE94" s="14"/>
      <c r="AF94" s="11" t="str">
        <f t="shared" si="18"/>
        <v/>
      </c>
      <c r="AG94" s="14"/>
      <c r="AH94" s="14"/>
      <c r="AI94" s="11" t="str">
        <f t="shared" si="19"/>
        <v/>
      </c>
      <c r="AJ94" s="14"/>
      <c r="AK94" s="11" t="str">
        <f t="shared" si="20"/>
        <v/>
      </c>
      <c r="AL94" s="11" t="str">
        <f t="shared" si="21"/>
        <v/>
      </c>
      <c r="AM94" s="11">
        <f t="shared" si="22"/>
        <v>0</v>
      </c>
      <c r="AN94" s="15" t="str">
        <f t="shared" si="23"/>
        <v/>
      </c>
      <c r="AO94" s="15"/>
      <c r="AP94" s="16"/>
      <c r="AQ94" s="21"/>
      <c r="BC94" s="60">
        <f t="shared" si="17"/>
        <v>0</v>
      </c>
      <c r="BJ94" s="60">
        <f t="shared" si="24"/>
        <v>0</v>
      </c>
    </row>
    <row r="95" spans="1:62" s="17" customFormat="1" x14ac:dyDescent="0.3">
      <c r="A95" s="23">
        <v>93</v>
      </c>
      <c r="B95" s="7"/>
      <c r="C95" s="14"/>
      <c r="D95" s="14"/>
      <c r="E95" s="11"/>
      <c r="F95" s="14"/>
      <c r="G95" s="14"/>
      <c r="H95" s="11"/>
      <c r="I95" s="7"/>
      <c r="J95" s="14"/>
      <c r="K95" s="11"/>
      <c r="L95" s="7">
        <v>91</v>
      </c>
      <c r="M95" s="14"/>
      <c r="N95" s="11"/>
      <c r="O95" s="7">
        <v>91</v>
      </c>
      <c r="P95" s="14"/>
      <c r="Q95" s="11"/>
      <c r="R95" s="7">
        <v>91</v>
      </c>
      <c r="S95" s="14"/>
      <c r="T95" s="11"/>
      <c r="U95" s="14"/>
      <c r="V95" s="14"/>
      <c r="W95" s="11"/>
      <c r="X95" s="14"/>
      <c r="Y95" s="14"/>
      <c r="Z95" s="11"/>
      <c r="AA95" s="14"/>
      <c r="AB95" s="14"/>
      <c r="AC95" s="11"/>
      <c r="AD95" s="14"/>
      <c r="AE95" s="14"/>
      <c r="AF95" s="11" t="str">
        <f t="shared" si="18"/>
        <v/>
      </c>
      <c r="AG95" s="14"/>
      <c r="AH95" s="14"/>
      <c r="AI95" s="11" t="str">
        <f t="shared" si="19"/>
        <v/>
      </c>
      <c r="AJ95" s="14"/>
      <c r="AK95" s="11" t="str">
        <f t="shared" si="20"/>
        <v/>
      </c>
      <c r="AL95" s="11" t="str">
        <f t="shared" si="21"/>
        <v/>
      </c>
      <c r="AM95" s="11">
        <f t="shared" si="22"/>
        <v>0</v>
      </c>
      <c r="AN95" s="15" t="str">
        <f t="shared" si="23"/>
        <v/>
      </c>
      <c r="AO95" s="15"/>
      <c r="AP95" s="16"/>
      <c r="AQ95" s="21"/>
      <c r="BC95" s="60">
        <f t="shared" si="17"/>
        <v>0</v>
      </c>
      <c r="BJ95" s="60">
        <f t="shared" si="24"/>
        <v>0</v>
      </c>
    </row>
    <row r="96" spans="1:62" s="17" customFormat="1" x14ac:dyDescent="0.3">
      <c r="A96" s="23">
        <v>94</v>
      </c>
      <c r="B96" s="7"/>
      <c r="C96" s="14"/>
      <c r="D96" s="14"/>
      <c r="E96" s="11"/>
      <c r="F96" s="14"/>
      <c r="G96" s="14"/>
      <c r="H96" s="11"/>
      <c r="I96" s="7"/>
      <c r="J96" s="14"/>
      <c r="K96" s="11"/>
      <c r="L96" s="7">
        <v>92</v>
      </c>
      <c r="M96" s="14"/>
      <c r="N96" s="11"/>
      <c r="O96" s="7">
        <v>92</v>
      </c>
      <c r="P96" s="14"/>
      <c r="Q96" s="11"/>
      <c r="R96" s="7">
        <v>92</v>
      </c>
      <c r="S96" s="14"/>
      <c r="T96" s="11"/>
      <c r="U96" s="14"/>
      <c r="V96" s="14"/>
      <c r="W96" s="11"/>
      <c r="X96" s="14"/>
      <c r="Y96" s="14"/>
      <c r="Z96" s="11"/>
      <c r="AA96" s="14"/>
      <c r="AB96" s="14"/>
      <c r="AC96" s="11"/>
      <c r="AD96" s="14"/>
      <c r="AE96" s="14"/>
      <c r="AF96" s="11" t="str">
        <f t="shared" si="18"/>
        <v/>
      </c>
      <c r="AG96" s="14"/>
      <c r="AH96" s="14"/>
      <c r="AI96" s="11" t="str">
        <f t="shared" si="19"/>
        <v/>
      </c>
      <c r="AJ96" s="14"/>
      <c r="AK96" s="11" t="str">
        <f t="shared" si="20"/>
        <v/>
      </c>
      <c r="AL96" s="11" t="str">
        <f t="shared" si="21"/>
        <v/>
      </c>
      <c r="AM96" s="11">
        <f t="shared" si="22"/>
        <v>0</v>
      </c>
      <c r="AN96" s="15" t="str">
        <f t="shared" si="23"/>
        <v/>
      </c>
      <c r="AO96" s="15"/>
      <c r="AP96" s="16"/>
      <c r="AQ96" s="21"/>
      <c r="BC96" s="60">
        <f t="shared" si="17"/>
        <v>0</v>
      </c>
      <c r="BJ96" s="60">
        <f t="shared" si="24"/>
        <v>0</v>
      </c>
    </row>
    <row r="97" spans="1:62" s="17" customFormat="1" x14ac:dyDescent="0.3">
      <c r="A97" s="23">
        <v>95</v>
      </c>
      <c r="B97" s="7"/>
      <c r="C97" s="14"/>
      <c r="D97" s="14"/>
      <c r="E97" s="11"/>
      <c r="F97" s="14"/>
      <c r="G97" s="14"/>
      <c r="H97" s="11"/>
      <c r="I97" s="7"/>
      <c r="J97" s="14"/>
      <c r="K97" s="11"/>
      <c r="L97" s="7">
        <v>93</v>
      </c>
      <c r="M97" s="14"/>
      <c r="N97" s="11"/>
      <c r="O97" s="7">
        <v>93</v>
      </c>
      <c r="P97" s="14"/>
      <c r="Q97" s="11"/>
      <c r="R97" s="7">
        <v>93</v>
      </c>
      <c r="S97" s="14"/>
      <c r="T97" s="11"/>
      <c r="U97" s="14"/>
      <c r="V97" s="14"/>
      <c r="W97" s="11"/>
      <c r="X97" s="14"/>
      <c r="Y97" s="14"/>
      <c r="Z97" s="11"/>
      <c r="AA97" s="14"/>
      <c r="AB97" s="14"/>
      <c r="AC97" s="11"/>
      <c r="AD97" s="14"/>
      <c r="AE97" s="14"/>
      <c r="AF97" s="11" t="str">
        <f t="shared" si="18"/>
        <v/>
      </c>
      <c r="AG97" s="14"/>
      <c r="AH97" s="14"/>
      <c r="AI97" s="11" t="str">
        <f t="shared" si="19"/>
        <v/>
      </c>
      <c r="AJ97" s="14"/>
      <c r="AK97" s="11" t="str">
        <f t="shared" si="20"/>
        <v/>
      </c>
      <c r="AL97" s="11" t="str">
        <f t="shared" si="21"/>
        <v/>
      </c>
      <c r="AM97" s="11">
        <f t="shared" si="22"/>
        <v>0</v>
      </c>
      <c r="AN97" s="15" t="str">
        <f t="shared" si="23"/>
        <v/>
      </c>
      <c r="AO97" s="15"/>
      <c r="AP97" s="16"/>
      <c r="AQ97" s="21"/>
      <c r="BC97" s="60">
        <f t="shared" si="17"/>
        <v>0</v>
      </c>
      <c r="BJ97" s="60">
        <f t="shared" si="24"/>
        <v>0</v>
      </c>
    </row>
    <row r="98" spans="1:62" s="17" customFormat="1" x14ac:dyDescent="0.3">
      <c r="A98" s="23">
        <v>96</v>
      </c>
      <c r="B98" s="7"/>
      <c r="C98" s="14"/>
      <c r="D98" s="14"/>
      <c r="E98" s="11"/>
      <c r="F98" s="14"/>
      <c r="G98" s="14"/>
      <c r="H98" s="11"/>
      <c r="I98" s="7"/>
      <c r="J98" s="14"/>
      <c r="K98" s="11"/>
      <c r="L98" s="7">
        <v>94</v>
      </c>
      <c r="M98" s="14"/>
      <c r="N98" s="11"/>
      <c r="O98" s="7">
        <v>94</v>
      </c>
      <c r="P98" s="14"/>
      <c r="Q98" s="11"/>
      <c r="R98" s="7">
        <v>94</v>
      </c>
      <c r="S98" s="14"/>
      <c r="T98" s="11"/>
      <c r="U98" s="14"/>
      <c r="V98" s="14"/>
      <c r="W98" s="11"/>
      <c r="X98" s="14"/>
      <c r="Y98" s="14"/>
      <c r="Z98" s="11"/>
      <c r="AA98" s="14"/>
      <c r="AB98" s="14"/>
      <c r="AC98" s="11"/>
      <c r="AD98" s="14"/>
      <c r="AE98" s="14"/>
      <c r="AF98" s="11" t="str">
        <f t="shared" si="18"/>
        <v/>
      </c>
      <c r="AG98" s="14"/>
      <c r="AH98" s="14"/>
      <c r="AI98" s="11" t="str">
        <f t="shared" si="19"/>
        <v/>
      </c>
      <c r="AJ98" s="14"/>
      <c r="AK98" s="11" t="str">
        <f t="shared" si="20"/>
        <v/>
      </c>
      <c r="AL98" s="11" t="str">
        <f t="shared" si="21"/>
        <v/>
      </c>
      <c r="AM98" s="11">
        <f t="shared" si="22"/>
        <v>0</v>
      </c>
      <c r="AN98" s="15" t="str">
        <f t="shared" si="23"/>
        <v/>
      </c>
      <c r="AO98" s="15"/>
      <c r="AP98" s="16"/>
      <c r="AQ98" s="21"/>
      <c r="BC98" s="60">
        <f t="shared" si="17"/>
        <v>0</v>
      </c>
      <c r="BJ98" s="60">
        <f t="shared" si="24"/>
        <v>0</v>
      </c>
    </row>
    <row r="99" spans="1:62" s="17" customFormat="1" x14ac:dyDescent="0.3">
      <c r="A99" s="23">
        <v>97</v>
      </c>
      <c r="B99" s="7"/>
      <c r="C99" s="14"/>
      <c r="D99" s="14"/>
      <c r="E99" s="11"/>
      <c r="F99" s="14"/>
      <c r="G99" s="14"/>
      <c r="H99" s="11"/>
      <c r="I99" s="7"/>
      <c r="J99" s="14"/>
      <c r="K99" s="11"/>
      <c r="L99" s="7">
        <v>95</v>
      </c>
      <c r="M99" s="14"/>
      <c r="N99" s="11"/>
      <c r="O99" s="7">
        <v>95</v>
      </c>
      <c r="P99" s="14"/>
      <c r="Q99" s="11"/>
      <c r="R99" s="7">
        <v>95</v>
      </c>
      <c r="S99" s="14"/>
      <c r="T99" s="11"/>
      <c r="U99" s="14"/>
      <c r="V99" s="14"/>
      <c r="W99" s="11"/>
      <c r="X99" s="14"/>
      <c r="Y99" s="14"/>
      <c r="Z99" s="11"/>
      <c r="AA99" s="14"/>
      <c r="AB99" s="14"/>
      <c r="AC99" s="11"/>
      <c r="AD99" s="14"/>
      <c r="AE99" s="14"/>
      <c r="AF99" s="11" t="str">
        <f t="shared" si="18"/>
        <v/>
      </c>
      <c r="AG99" s="14"/>
      <c r="AH99" s="14"/>
      <c r="AI99" s="11" t="str">
        <f t="shared" si="19"/>
        <v/>
      </c>
      <c r="AJ99" s="14"/>
      <c r="AK99" s="11" t="str">
        <f t="shared" si="20"/>
        <v/>
      </c>
      <c r="AL99" s="11" t="str">
        <f t="shared" si="21"/>
        <v/>
      </c>
      <c r="AM99" s="11">
        <f t="shared" si="22"/>
        <v>0</v>
      </c>
      <c r="AN99" s="15" t="str">
        <f t="shared" si="23"/>
        <v/>
      </c>
      <c r="AO99" s="15"/>
      <c r="AP99" s="16"/>
      <c r="AQ99" s="21"/>
      <c r="BC99" s="60">
        <f t="shared" si="17"/>
        <v>0</v>
      </c>
      <c r="BJ99" s="60">
        <f t="shared" si="24"/>
        <v>0</v>
      </c>
    </row>
    <row r="100" spans="1:62" s="17" customFormat="1" x14ac:dyDescent="0.3">
      <c r="A100" s="23">
        <v>98</v>
      </c>
      <c r="B100" s="7"/>
      <c r="C100" s="14"/>
      <c r="D100" s="14"/>
      <c r="E100" s="11"/>
      <c r="F100" s="14"/>
      <c r="G100" s="14"/>
      <c r="H100" s="11"/>
      <c r="I100" s="7"/>
      <c r="J100" s="14"/>
      <c r="K100" s="11"/>
      <c r="L100" s="7">
        <v>96</v>
      </c>
      <c r="M100" s="14"/>
      <c r="N100" s="11"/>
      <c r="O100" s="7">
        <v>96</v>
      </c>
      <c r="P100" s="14"/>
      <c r="Q100" s="11"/>
      <c r="R100" s="7">
        <v>96</v>
      </c>
      <c r="S100" s="14"/>
      <c r="T100" s="11"/>
      <c r="U100" s="14"/>
      <c r="V100" s="14"/>
      <c r="W100" s="11"/>
      <c r="X100" s="14"/>
      <c r="Y100" s="14"/>
      <c r="Z100" s="11"/>
      <c r="AA100" s="14"/>
      <c r="AB100" s="14"/>
      <c r="AC100" s="11"/>
      <c r="AD100" s="14"/>
      <c r="AE100" s="14"/>
      <c r="AF100" s="11" t="str">
        <f t="shared" si="18"/>
        <v/>
      </c>
      <c r="AG100" s="14"/>
      <c r="AH100" s="14"/>
      <c r="AI100" s="11" t="str">
        <f t="shared" si="19"/>
        <v/>
      </c>
      <c r="AJ100" s="14"/>
      <c r="AK100" s="11" t="str">
        <f t="shared" si="20"/>
        <v/>
      </c>
      <c r="AL100" s="11" t="str">
        <f t="shared" si="21"/>
        <v/>
      </c>
      <c r="AM100" s="11">
        <f t="shared" si="22"/>
        <v>0</v>
      </c>
      <c r="AN100" s="15" t="str">
        <f t="shared" si="23"/>
        <v/>
      </c>
      <c r="AO100" s="15"/>
      <c r="AP100" s="16"/>
      <c r="AQ100" s="21"/>
      <c r="BC100" s="60">
        <f t="shared" si="17"/>
        <v>0</v>
      </c>
      <c r="BJ100" s="60">
        <f t="shared" si="24"/>
        <v>0</v>
      </c>
    </row>
    <row r="101" spans="1:62" s="17" customFormat="1" x14ac:dyDescent="0.3">
      <c r="A101" s="23">
        <v>99</v>
      </c>
      <c r="B101" s="7"/>
      <c r="C101" s="14"/>
      <c r="D101" s="14"/>
      <c r="E101" s="11"/>
      <c r="F101" s="14"/>
      <c r="G101" s="14"/>
      <c r="H101" s="11"/>
      <c r="I101" s="7"/>
      <c r="J101" s="14"/>
      <c r="K101" s="11"/>
      <c r="L101" s="7">
        <v>97</v>
      </c>
      <c r="M101" s="14"/>
      <c r="N101" s="11"/>
      <c r="O101" s="7">
        <v>97</v>
      </c>
      <c r="P101" s="14"/>
      <c r="Q101" s="11"/>
      <c r="R101" s="7">
        <v>97</v>
      </c>
      <c r="S101" s="14"/>
      <c r="T101" s="11"/>
      <c r="U101" s="14"/>
      <c r="V101" s="14"/>
      <c r="W101" s="11"/>
      <c r="X101" s="14"/>
      <c r="Y101" s="14"/>
      <c r="Z101" s="11"/>
      <c r="AA101" s="14"/>
      <c r="AB101" s="14"/>
      <c r="AC101" s="11"/>
      <c r="AD101" s="14"/>
      <c r="AE101" s="14"/>
      <c r="AF101" s="11" t="str">
        <f t="shared" si="18"/>
        <v/>
      </c>
      <c r="AG101" s="14"/>
      <c r="AH101" s="14"/>
      <c r="AI101" s="11" t="str">
        <f t="shared" si="19"/>
        <v/>
      </c>
      <c r="AJ101" s="14"/>
      <c r="AK101" s="11" t="str">
        <f t="shared" si="20"/>
        <v/>
      </c>
      <c r="AL101" s="11" t="str">
        <f t="shared" si="21"/>
        <v/>
      </c>
      <c r="AM101" s="11">
        <f t="shared" si="22"/>
        <v>0</v>
      </c>
      <c r="AN101" s="15" t="str">
        <f t="shared" si="23"/>
        <v/>
      </c>
      <c r="AO101" s="15"/>
      <c r="AP101" s="16"/>
      <c r="AQ101" s="21"/>
      <c r="BC101" s="60">
        <f t="shared" si="17"/>
        <v>0</v>
      </c>
      <c r="BJ101" s="60">
        <f t="shared" si="24"/>
        <v>0</v>
      </c>
    </row>
    <row r="102" spans="1:62" s="17" customFormat="1" x14ac:dyDescent="0.3">
      <c r="A102" s="23">
        <v>100</v>
      </c>
      <c r="B102" s="7"/>
      <c r="C102" s="14"/>
      <c r="D102" s="14"/>
      <c r="E102" s="11"/>
      <c r="F102" s="14"/>
      <c r="G102" s="14"/>
      <c r="H102" s="11"/>
      <c r="I102" s="7"/>
      <c r="J102" s="14"/>
      <c r="K102" s="11"/>
      <c r="L102" s="7">
        <v>98</v>
      </c>
      <c r="M102" s="14"/>
      <c r="N102" s="11"/>
      <c r="O102" s="7">
        <v>98</v>
      </c>
      <c r="P102" s="14"/>
      <c r="Q102" s="11"/>
      <c r="R102" s="7">
        <v>98</v>
      </c>
      <c r="S102" s="14"/>
      <c r="T102" s="11"/>
      <c r="U102" s="14"/>
      <c r="V102" s="14"/>
      <c r="W102" s="11"/>
      <c r="X102" s="14"/>
      <c r="Y102" s="14"/>
      <c r="Z102" s="11"/>
      <c r="AA102" s="14"/>
      <c r="AB102" s="14"/>
      <c r="AC102" s="11"/>
      <c r="AD102" s="14"/>
      <c r="AE102" s="14"/>
      <c r="AF102" s="11" t="str">
        <f t="shared" si="18"/>
        <v/>
      </c>
      <c r="AG102" s="14"/>
      <c r="AH102" s="14"/>
      <c r="AI102" s="11" t="str">
        <f t="shared" si="19"/>
        <v/>
      </c>
      <c r="AJ102" s="14"/>
      <c r="AK102" s="11" t="str">
        <f t="shared" si="20"/>
        <v/>
      </c>
      <c r="AL102" s="11" t="str">
        <f t="shared" si="21"/>
        <v/>
      </c>
      <c r="AM102" s="11">
        <f t="shared" si="22"/>
        <v>0</v>
      </c>
      <c r="AN102" s="15" t="str">
        <f t="shared" si="23"/>
        <v/>
      </c>
      <c r="AO102" s="15"/>
      <c r="AP102" s="16"/>
      <c r="AQ102" s="21"/>
      <c r="BC102" s="60">
        <f t="shared" si="17"/>
        <v>0</v>
      </c>
      <c r="BJ102" s="60">
        <f t="shared" si="24"/>
        <v>0</v>
      </c>
    </row>
    <row r="103" spans="1:62" s="17" customFormat="1" x14ac:dyDescent="0.3">
      <c r="A103" s="23">
        <v>101</v>
      </c>
      <c r="B103" s="7"/>
      <c r="C103" s="14"/>
      <c r="D103" s="14"/>
      <c r="E103" s="11"/>
      <c r="F103" s="14"/>
      <c r="G103" s="14"/>
      <c r="H103" s="11"/>
      <c r="I103" s="7"/>
      <c r="J103" s="14"/>
      <c r="K103" s="11"/>
      <c r="L103" s="7">
        <v>99</v>
      </c>
      <c r="M103" s="14"/>
      <c r="N103" s="11"/>
      <c r="O103" s="7">
        <v>99</v>
      </c>
      <c r="P103" s="14"/>
      <c r="Q103" s="11"/>
      <c r="R103" s="7">
        <v>99</v>
      </c>
      <c r="S103" s="14"/>
      <c r="T103" s="11"/>
      <c r="U103" s="14"/>
      <c r="V103" s="14"/>
      <c r="W103" s="11"/>
      <c r="X103" s="14"/>
      <c r="Y103" s="14"/>
      <c r="Z103" s="11"/>
      <c r="AA103" s="14"/>
      <c r="AB103" s="14"/>
      <c r="AC103" s="11"/>
      <c r="AD103" s="14"/>
      <c r="AE103" s="14"/>
      <c r="AF103" s="11" t="str">
        <f t="shared" si="18"/>
        <v/>
      </c>
      <c r="AG103" s="14"/>
      <c r="AH103" s="14"/>
      <c r="AI103" s="11" t="str">
        <f t="shared" si="19"/>
        <v/>
      </c>
      <c r="AJ103" s="14"/>
      <c r="AK103" s="11" t="str">
        <f t="shared" si="20"/>
        <v/>
      </c>
      <c r="AL103" s="11" t="str">
        <f t="shared" si="21"/>
        <v/>
      </c>
      <c r="AM103" s="11">
        <f t="shared" si="22"/>
        <v>0</v>
      </c>
      <c r="AN103" s="15" t="str">
        <f t="shared" si="23"/>
        <v/>
      </c>
      <c r="AO103" s="15"/>
      <c r="AP103" s="16"/>
      <c r="AQ103" s="21"/>
      <c r="BC103" s="60">
        <f t="shared" si="17"/>
        <v>0</v>
      </c>
      <c r="BJ103" s="60">
        <f t="shared" si="24"/>
        <v>0</v>
      </c>
    </row>
    <row r="104" spans="1:62" s="17" customFormat="1" x14ac:dyDescent="0.3">
      <c r="A104" s="23">
        <v>102</v>
      </c>
      <c r="B104" s="7"/>
      <c r="C104" s="14"/>
      <c r="D104" s="14"/>
      <c r="E104" s="11"/>
      <c r="F104" s="14"/>
      <c r="G104" s="14"/>
      <c r="H104" s="11"/>
      <c r="I104" s="7"/>
      <c r="J104" s="14"/>
      <c r="K104" s="11"/>
      <c r="L104" s="7">
        <v>100</v>
      </c>
      <c r="M104" s="14"/>
      <c r="N104" s="11"/>
      <c r="O104" s="7">
        <v>100</v>
      </c>
      <c r="P104" s="14"/>
      <c r="Q104" s="11"/>
      <c r="R104" s="7">
        <v>100</v>
      </c>
      <c r="S104" s="14"/>
      <c r="T104" s="11"/>
      <c r="U104" s="14"/>
      <c r="V104" s="14"/>
      <c r="W104" s="11"/>
      <c r="X104" s="14"/>
      <c r="Y104" s="14"/>
      <c r="Z104" s="11"/>
      <c r="AA104" s="14"/>
      <c r="AB104" s="14"/>
      <c r="AC104" s="11"/>
      <c r="AD104" s="14"/>
      <c r="AE104" s="14"/>
      <c r="AF104" s="11" t="str">
        <f t="shared" si="18"/>
        <v/>
      </c>
      <c r="AG104" s="14"/>
      <c r="AH104" s="14"/>
      <c r="AI104" s="11" t="str">
        <f t="shared" si="19"/>
        <v/>
      </c>
      <c r="AJ104" s="14"/>
      <c r="AK104" s="11" t="str">
        <f t="shared" si="20"/>
        <v/>
      </c>
      <c r="AL104" s="11" t="str">
        <f t="shared" si="21"/>
        <v/>
      </c>
      <c r="AM104" s="11">
        <f t="shared" si="22"/>
        <v>0</v>
      </c>
      <c r="AN104" s="15" t="str">
        <f t="shared" si="23"/>
        <v/>
      </c>
      <c r="AO104" s="15"/>
      <c r="AP104" s="16"/>
      <c r="AQ104" s="21"/>
      <c r="BC104" s="60">
        <f t="shared" si="17"/>
        <v>0</v>
      </c>
      <c r="BJ104" s="60">
        <f t="shared" si="24"/>
        <v>0</v>
      </c>
    </row>
    <row r="105" spans="1:62" s="17" customFormat="1" x14ac:dyDescent="0.3">
      <c r="A105" s="23">
        <v>103</v>
      </c>
      <c r="B105" s="7"/>
      <c r="C105" s="14"/>
      <c r="D105" s="14"/>
      <c r="E105" s="11"/>
      <c r="F105" s="14"/>
      <c r="G105" s="14"/>
      <c r="H105" s="11"/>
      <c r="I105" s="7"/>
      <c r="J105" s="14"/>
      <c r="K105" s="11"/>
      <c r="L105" s="7">
        <v>101</v>
      </c>
      <c r="M105" s="14"/>
      <c r="N105" s="11"/>
      <c r="O105" s="7">
        <v>101</v>
      </c>
      <c r="P105" s="14"/>
      <c r="Q105" s="11"/>
      <c r="R105" s="7">
        <v>101</v>
      </c>
      <c r="S105" s="14"/>
      <c r="T105" s="11"/>
      <c r="U105" s="14"/>
      <c r="V105" s="14"/>
      <c r="W105" s="11"/>
      <c r="X105" s="14"/>
      <c r="Y105" s="14"/>
      <c r="Z105" s="11"/>
      <c r="AA105" s="14"/>
      <c r="AB105" s="14"/>
      <c r="AC105" s="11"/>
      <c r="AD105" s="14"/>
      <c r="AE105" s="14"/>
      <c r="AF105" s="11" t="str">
        <f t="shared" si="18"/>
        <v/>
      </c>
      <c r="AG105" s="14"/>
      <c r="AH105" s="14"/>
      <c r="AI105" s="11" t="str">
        <f t="shared" si="19"/>
        <v/>
      </c>
      <c r="AJ105" s="14"/>
      <c r="AK105" s="11" t="str">
        <f t="shared" si="20"/>
        <v/>
      </c>
      <c r="AL105" s="11" t="str">
        <f t="shared" si="21"/>
        <v/>
      </c>
      <c r="AM105" s="11">
        <f t="shared" si="22"/>
        <v>0</v>
      </c>
      <c r="AN105" s="15" t="str">
        <f t="shared" si="23"/>
        <v/>
      </c>
      <c r="AO105" s="15"/>
      <c r="AP105" s="16"/>
      <c r="AQ105" s="21"/>
      <c r="BC105" s="60">
        <f t="shared" si="17"/>
        <v>0</v>
      </c>
      <c r="BJ105" s="60">
        <f t="shared" si="24"/>
        <v>0</v>
      </c>
    </row>
    <row r="106" spans="1:62" s="17" customFormat="1" x14ac:dyDescent="0.3">
      <c r="A106" s="23">
        <v>104</v>
      </c>
      <c r="B106" s="7"/>
      <c r="C106" s="14"/>
      <c r="D106" s="14"/>
      <c r="E106" s="11"/>
      <c r="F106" s="14"/>
      <c r="G106" s="14"/>
      <c r="H106" s="11"/>
      <c r="I106" s="7"/>
      <c r="J106" s="14"/>
      <c r="K106" s="11"/>
      <c r="L106" s="7">
        <v>102</v>
      </c>
      <c r="M106" s="14"/>
      <c r="N106" s="11"/>
      <c r="O106" s="7">
        <v>102</v>
      </c>
      <c r="P106" s="14"/>
      <c r="Q106" s="11"/>
      <c r="R106" s="7">
        <v>102</v>
      </c>
      <c r="S106" s="14"/>
      <c r="T106" s="11"/>
      <c r="U106" s="14"/>
      <c r="V106" s="14"/>
      <c r="W106" s="11"/>
      <c r="X106" s="14"/>
      <c r="Y106" s="14"/>
      <c r="Z106" s="11"/>
      <c r="AA106" s="14"/>
      <c r="AB106" s="14"/>
      <c r="AC106" s="11"/>
      <c r="AD106" s="14"/>
      <c r="AE106" s="14"/>
      <c r="AF106" s="11" t="str">
        <f t="shared" si="18"/>
        <v/>
      </c>
      <c r="AG106" s="14"/>
      <c r="AH106" s="14"/>
      <c r="AI106" s="11" t="str">
        <f t="shared" si="19"/>
        <v/>
      </c>
      <c r="AJ106" s="14"/>
      <c r="AK106" s="11" t="str">
        <f t="shared" si="20"/>
        <v/>
      </c>
      <c r="AL106" s="11" t="str">
        <f t="shared" si="21"/>
        <v/>
      </c>
      <c r="AM106" s="11">
        <f t="shared" si="22"/>
        <v>0</v>
      </c>
      <c r="AN106" s="15" t="str">
        <f t="shared" si="23"/>
        <v/>
      </c>
      <c r="AO106" s="15"/>
      <c r="AP106" s="16"/>
      <c r="AQ106" s="21"/>
      <c r="BC106" s="60">
        <f t="shared" si="17"/>
        <v>0</v>
      </c>
      <c r="BJ106" s="60">
        <f t="shared" si="24"/>
        <v>0</v>
      </c>
    </row>
    <row r="107" spans="1:62" s="17" customFormat="1" x14ac:dyDescent="0.3">
      <c r="A107" s="23">
        <v>105</v>
      </c>
      <c r="B107" s="7"/>
      <c r="C107" s="14"/>
      <c r="D107" s="14"/>
      <c r="E107" s="11"/>
      <c r="F107" s="14"/>
      <c r="G107" s="14"/>
      <c r="H107" s="11"/>
      <c r="I107" s="7"/>
      <c r="J107" s="14"/>
      <c r="K107" s="11"/>
      <c r="L107" s="7">
        <v>103</v>
      </c>
      <c r="M107" s="14"/>
      <c r="N107" s="11"/>
      <c r="O107" s="7">
        <v>103</v>
      </c>
      <c r="P107" s="14"/>
      <c r="Q107" s="11"/>
      <c r="R107" s="7">
        <v>103</v>
      </c>
      <c r="S107" s="14"/>
      <c r="T107" s="11"/>
      <c r="U107" s="14"/>
      <c r="V107" s="14"/>
      <c r="W107" s="11"/>
      <c r="X107" s="14"/>
      <c r="Y107" s="14"/>
      <c r="Z107" s="11"/>
      <c r="AA107" s="14"/>
      <c r="AB107" s="14"/>
      <c r="AC107" s="11"/>
      <c r="AD107" s="14"/>
      <c r="AE107" s="14"/>
      <c r="AF107" s="11" t="str">
        <f t="shared" si="18"/>
        <v/>
      </c>
      <c r="AG107" s="14"/>
      <c r="AH107" s="14"/>
      <c r="AI107" s="11" t="str">
        <f t="shared" si="19"/>
        <v/>
      </c>
      <c r="AJ107" s="14"/>
      <c r="AK107" s="11" t="str">
        <f t="shared" si="20"/>
        <v/>
      </c>
      <c r="AL107" s="11" t="str">
        <f t="shared" si="21"/>
        <v/>
      </c>
      <c r="AM107" s="11">
        <f t="shared" si="22"/>
        <v>0</v>
      </c>
      <c r="AN107" s="15" t="str">
        <f t="shared" si="23"/>
        <v/>
      </c>
      <c r="AO107" s="15"/>
      <c r="AP107" s="16"/>
      <c r="AQ107" s="21"/>
      <c r="BC107" s="60">
        <f t="shared" si="17"/>
        <v>0</v>
      </c>
      <c r="BJ107" s="60">
        <f t="shared" si="24"/>
        <v>0</v>
      </c>
    </row>
    <row r="108" spans="1:62" s="17" customFormat="1" x14ac:dyDescent="0.3">
      <c r="A108" s="23">
        <v>106</v>
      </c>
      <c r="B108" s="7"/>
      <c r="C108" s="14"/>
      <c r="D108" s="14"/>
      <c r="E108" s="11"/>
      <c r="F108" s="14"/>
      <c r="G108" s="14"/>
      <c r="H108" s="11"/>
      <c r="I108" s="7"/>
      <c r="J108" s="14"/>
      <c r="K108" s="11"/>
      <c r="L108" s="7">
        <v>104</v>
      </c>
      <c r="M108" s="14"/>
      <c r="N108" s="11"/>
      <c r="O108" s="7">
        <v>104</v>
      </c>
      <c r="P108" s="14"/>
      <c r="Q108" s="11"/>
      <c r="R108" s="7">
        <v>104</v>
      </c>
      <c r="S108" s="14"/>
      <c r="T108" s="11"/>
      <c r="U108" s="14"/>
      <c r="V108" s="14"/>
      <c r="W108" s="11"/>
      <c r="X108" s="14"/>
      <c r="Y108" s="14"/>
      <c r="Z108" s="11"/>
      <c r="AA108" s="14"/>
      <c r="AB108" s="14"/>
      <c r="AC108" s="11"/>
      <c r="AD108" s="14"/>
      <c r="AE108" s="14"/>
      <c r="AF108" s="11" t="str">
        <f t="shared" si="18"/>
        <v/>
      </c>
      <c r="AG108" s="14"/>
      <c r="AH108" s="14"/>
      <c r="AI108" s="11" t="str">
        <f t="shared" si="19"/>
        <v/>
      </c>
      <c r="AJ108" s="14"/>
      <c r="AK108" s="11" t="str">
        <f t="shared" si="20"/>
        <v/>
      </c>
      <c r="AL108" s="11" t="str">
        <f t="shared" si="21"/>
        <v/>
      </c>
      <c r="AM108" s="11">
        <f t="shared" si="22"/>
        <v>0</v>
      </c>
      <c r="AN108" s="15" t="str">
        <f t="shared" si="23"/>
        <v/>
      </c>
      <c r="AO108" s="15"/>
      <c r="AP108" s="16"/>
      <c r="AQ108" s="21"/>
      <c r="BC108" s="60">
        <f t="shared" si="17"/>
        <v>0</v>
      </c>
      <c r="BJ108" s="60">
        <f t="shared" si="24"/>
        <v>0</v>
      </c>
    </row>
    <row r="109" spans="1:62" s="17" customFormat="1" x14ac:dyDescent="0.3">
      <c r="A109" s="23">
        <v>107</v>
      </c>
      <c r="B109" s="7"/>
      <c r="C109" s="14"/>
      <c r="D109" s="14"/>
      <c r="E109" s="11"/>
      <c r="F109" s="14"/>
      <c r="G109" s="14"/>
      <c r="H109" s="11"/>
      <c r="I109" s="7"/>
      <c r="J109" s="14"/>
      <c r="K109" s="11"/>
      <c r="L109" s="7">
        <v>105</v>
      </c>
      <c r="M109" s="14"/>
      <c r="N109" s="11"/>
      <c r="O109" s="7">
        <v>105</v>
      </c>
      <c r="P109" s="14"/>
      <c r="Q109" s="11"/>
      <c r="R109" s="7">
        <v>105</v>
      </c>
      <c r="S109" s="14"/>
      <c r="T109" s="11"/>
      <c r="U109" s="14"/>
      <c r="V109" s="14"/>
      <c r="W109" s="11"/>
      <c r="X109" s="14"/>
      <c r="Y109" s="14"/>
      <c r="Z109" s="11"/>
      <c r="AA109" s="14"/>
      <c r="AB109" s="14"/>
      <c r="AC109" s="11"/>
      <c r="AD109" s="14"/>
      <c r="AE109" s="14"/>
      <c r="AF109" s="11" t="str">
        <f t="shared" si="18"/>
        <v/>
      </c>
      <c r="AG109" s="14"/>
      <c r="AH109" s="14"/>
      <c r="AI109" s="11" t="str">
        <f t="shared" si="19"/>
        <v/>
      </c>
      <c r="AJ109" s="14"/>
      <c r="AK109" s="11" t="str">
        <f t="shared" si="20"/>
        <v/>
      </c>
      <c r="AL109" s="11" t="str">
        <f t="shared" si="21"/>
        <v/>
      </c>
      <c r="AM109" s="11">
        <f t="shared" si="22"/>
        <v>0</v>
      </c>
      <c r="AN109" s="15" t="str">
        <f t="shared" si="23"/>
        <v/>
      </c>
      <c r="AO109" s="15"/>
      <c r="AP109" s="16"/>
      <c r="AQ109" s="21"/>
      <c r="BC109" s="60">
        <f t="shared" si="17"/>
        <v>0</v>
      </c>
      <c r="BJ109" s="60">
        <f t="shared" si="24"/>
        <v>0</v>
      </c>
    </row>
    <row r="110" spans="1:62" s="17" customFormat="1" x14ac:dyDescent="0.3">
      <c r="A110" s="23">
        <v>108</v>
      </c>
      <c r="B110" s="7"/>
      <c r="C110" s="14"/>
      <c r="D110" s="14"/>
      <c r="E110" s="11"/>
      <c r="F110" s="14"/>
      <c r="G110" s="14"/>
      <c r="H110" s="11"/>
      <c r="I110" s="7"/>
      <c r="J110" s="14"/>
      <c r="K110" s="11"/>
      <c r="L110" s="7">
        <v>106</v>
      </c>
      <c r="M110" s="14"/>
      <c r="N110" s="11"/>
      <c r="O110" s="7">
        <v>106</v>
      </c>
      <c r="P110" s="14"/>
      <c r="Q110" s="11"/>
      <c r="R110" s="7">
        <v>106</v>
      </c>
      <c r="S110" s="14"/>
      <c r="T110" s="11"/>
      <c r="U110" s="14"/>
      <c r="V110" s="14"/>
      <c r="W110" s="11"/>
      <c r="X110" s="14"/>
      <c r="Y110" s="14"/>
      <c r="Z110" s="11"/>
      <c r="AA110" s="14"/>
      <c r="AB110" s="14"/>
      <c r="AC110" s="11"/>
      <c r="AD110" s="14"/>
      <c r="AE110" s="14"/>
      <c r="AF110" s="11" t="str">
        <f t="shared" si="18"/>
        <v/>
      </c>
      <c r="AG110" s="14"/>
      <c r="AH110" s="14"/>
      <c r="AI110" s="11" t="str">
        <f t="shared" si="19"/>
        <v/>
      </c>
      <c r="AJ110" s="14"/>
      <c r="AK110" s="11" t="str">
        <f t="shared" si="20"/>
        <v/>
      </c>
      <c r="AL110" s="11" t="str">
        <f t="shared" si="21"/>
        <v/>
      </c>
      <c r="AM110" s="11">
        <f t="shared" si="22"/>
        <v>0</v>
      </c>
      <c r="AN110" s="15" t="str">
        <f t="shared" si="23"/>
        <v/>
      </c>
      <c r="AO110" s="15"/>
      <c r="AP110" s="16"/>
      <c r="AQ110" s="21"/>
      <c r="BC110" s="60">
        <f t="shared" si="17"/>
        <v>0</v>
      </c>
      <c r="BJ110" s="60">
        <f t="shared" si="24"/>
        <v>0</v>
      </c>
    </row>
    <row r="111" spans="1:62" s="17" customFormat="1" x14ac:dyDescent="0.3">
      <c r="A111" s="23">
        <v>109</v>
      </c>
      <c r="B111" s="7"/>
      <c r="C111" s="14"/>
      <c r="D111" s="14"/>
      <c r="E111" s="11"/>
      <c r="F111" s="14"/>
      <c r="G111" s="14"/>
      <c r="H111" s="11"/>
      <c r="I111" s="7"/>
      <c r="J111" s="14"/>
      <c r="K111" s="11"/>
      <c r="L111" s="7">
        <v>107</v>
      </c>
      <c r="M111" s="14"/>
      <c r="N111" s="11"/>
      <c r="O111" s="7">
        <v>107</v>
      </c>
      <c r="P111" s="14"/>
      <c r="Q111" s="11"/>
      <c r="R111" s="7">
        <v>107</v>
      </c>
      <c r="S111" s="14"/>
      <c r="T111" s="11"/>
      <c r="U111" s="14"/>
      <c r="V111" s="14"/>
      <c r="W111" s="11"/>
      <c r="X111" s="14"/>
      <c r="Y111" s="14"/>
      <c r="Z111" s="11"/>
      <c r="AA111" s="14"/>
      <c r="AB111" s="14"/>
      <c r="AC111" s="11"/>
      <c r="AD111" s="14"/>
      <c r="AE111" s="14"/>
      <c r="AF111" s="11" t="str">
        <f t="shared" si="18"/>
        <v/>
      </c>
      <c r="AG111" s="14"/>
      <c r="AH111" s="14"/>
      <c r="AI111" s="11" t="str">
        <f t="shared" si="19"/>
        <v/>
      </c>
      <c r="AJ111" s="14"/>
      <c r="AK111" s="11" t="str">
        <f t="shared" si="20"/>
        <v/>
      </c>
      <c r="AL111" s="11" t="str">
        <f t="shared" si="21"/>
        <v/>
      </c>
      <c r="AM111" s="11">
        <f t="shared" si="22"/>
        <v>0</v>
      </c>
      <c r="AN111" s="15" t="str">
        <f t="shared" si="23"/>
        <v/>
      </c>
      <c r="AO111" s="15"/>
      <c r="AP111" s="16"/>
      <c r="AQ111" s="21"/>
      <c r="BC111" s="60">
        <f t="shared" si="17"/>
        <v>0</v>
      </c>
      <c r="BJ111" s="60">
        <f t="shared" si="24"/>
        <v>0</v>
      </c>
    </row>
    <row r="112" spans="1:62" s="17" customFormat="1" x14ac:dyDescent="0.3">
      <c r="A112" s="23">
        <v>110</v>
      </c>
      <c r="B112" s="7"/>
      <c r="C112" s="14"/>
      <c r="D112" s="14"/>
      <c r="E112" s="11"/>
      <c r="F112" s="14"/>
      <c r="G112" s="14"/>
      <c r="H112" s="11"/>
      <c r="I112" s="7"/>
      <c r="J112" s="14"/>
      <c r="K112" s="11"/>
      <c r="L112" s="7">
        <v>108</v>
      </c>
      <c r="M112" s="14"/>
      <c r="N112" s="11"/>
      <c r="O112" s="7">
        <v>108</v>
      </c>
      <c r="P112" s="14"/>
      <c r="Q112" s="11"/>
      <c r="R112" s="7">
        <v>108</v>
      </c>
      <c r="S112" s="14"/>
      <c r="T112" s="11"/>
      <c r="U112" s="14"/>
      <c r="V112" s="14"/>
      <c r="W112" s="11"/>
      <c r="X112" s="14"/>
      <c r="Y112" s="14"/>
      <c r="Z112" s="11"/>
      <c r="AA112" s="14"/>
      <c r="AB112" s="14"/>
      <c r="AC112" s="11"/>
      <c r="AD112" s="14"/>
      <c r="AE112" s="14"/>
      <c r="AF112" s="11" t="str">
        <f t="shared" si="18"/>
        <v/>
      </c>
      <c r="AG112" s="14"/>
      <c r="AH112" s="14"/>
      <c r="AI112" s="11" t="str">
        <f t="shared" si="19"/>
        <v/>
      </c>
      <c r="AJ112" s="14"/>
      <c r="AK112" s="11" t="str">
        <f t="shared" si="20"/>
        <v/>
      </c>
      <c r="AL112" s="11" t="str">
        <f t="shared" si="21"/>
        <v/>
      </c>
      <c r="AM112" s="11">
        <f t="shared" si="22"/>
        <v>0</v>
      </c>
      <c r="AN112" s="15" t="str">
        <f t="shared" si="23"/>
        <v/>
      </c>
      <c r="AO112" s="15"/>
      <c r="AP112" s="16"/>
      <c r="AQ112" s="21"/>
      <c r="BC112" s="60">
        <f t="shared" si="17"/>
        <v>0</v>
      </c>
      <c r="BJ112" s="60">
        <f t="shared" si="24"/>
        <v>0</v>
      </c>
    </row>
    <row r="113" spans="1:62" s="17" customFormat="1" x14ac:dyDescent="0.3">
      <c r="A113" s="23">
        <v>111</v>
      </c>
      <c r="B113" s="7"/>
      <c r="C113" s="14"/>
      <c r="D113" s="14"/>
      <c r="E113" s="11"/>
      <c r="F113" s="14"/>
      <c r="G113" s="14"/>
      <c r="H113" s="11"/>
      <c r="I113" s="7"/>
      <c r="J113" s="14"/>
      <c r="K113" s="11"/>
      <c r="L113" s="7">
        <v>109</v>
      </c>
      <c r="M113" s="14"/>
      <c r="N113" s="11"/>
      <c r="O113" s="7">
        <v>109</v>
      </c>
      <c r="P113" s="14"/>
      <c r="Q113" s="11"/>
      <c r="R113" s="7">
        <v>109</v>
      </c>
      <c r="S113" s="14"/>
      <c r="T113" s="11"/>
      <c r="U113" s="14"/>
      <c r="V113" s="14"/>
      <c r="W113" s="11"/>
      <c r="X113" s="14"/>
      <c r="Y113" s="14"/>
      <c r="Z113" s="11"/>
      <c r="AA113" s="14"/>
      <c r="AB113" s="14"/>
      <c r="AC113" s="11"/>
      <c r="AD113" s="14"/>
      <c r="AE113" s="14"/>
      <c r="AF113" s="11" t="str">
        <f t="shared" si="18"/>
        <v/>
      </c>
      <c r="AG113" s="14"/>
      <c r="AH113" s="14"/>
      <c r="AI113" s="11" t="str">
        <f t="shared" si="19"/>
        <v/>
      </c>
      <c r="AJ113" s="14"/>
      <c r="AK113" s="11" t="str">
        <f t="shared" si="20"/>
        <v/>
      </c>
      <c r="AL113" s="11" t="str">
        <f t="shared" si="21"/>
        <v/>
      </c>
      <c r="AM113" s="11">
        <f t="shared" si="22"/>
        <v>0</v>
      </c>
      <c r="AN113" s="15" t="str">
        <f t="shared" si="23"/>
        <v/>
      </c>
      <c r="AO113" s="15"/>
      <c r="AP113" s="16"/>
      <c r="AQ113" s="21"/>
      <c r="BC113" s="60">
        <f t="shared" si="17"/>
        <v>0</v>
      </c>
      <c r="BJ113" s="60">
        <f t="shared" si="24"/>
        <v>0</v>
      </c>
    </row>
    <row r="114" spans="1:62" s="17" customFormat="1" x14ac:dyDescent="0.3">
      <c r="A114" s="23">
        <v>112</v>
      </c>
      <c r="B114" s="7"/>
      <c r="C114" s="14"/>
      <c r="D114" s="14"/>
      <c r="E114" s="11"/>
      <c r="F114" s="14"/>
      <c r="G114" s="14"/>
      <c r="H114" s="11"/>
      <c r="I114" s="7"/>
      <c r="J114" s="14"/>
      <c r="K114" s="11"/>
      <c r="L114" s="7">
        <v>110</v>
      </c>
      <c r="M114" s="14"/>
      <c r="N114" s="11"/>
      <c r="O114" s="7">
        <v>110</v>
      </c>
      <c r="P114" s="14"/>
      <c r="Q114" s="11"/>
      <c r="R114" s="7">
        <v>110</v>
      </c>
      <c r="S114" s="14"/>
      <c r="T114" s="11"/>
      <c r="U114" s="14"/>
      <c r="V114" s="14"/>
      <c r="W114" s="11"/>
      <c r="X114" s="14"/>
      <c r="Y114" s="14"/>
      <c r="Z114" s="11"/>
      <c r="AA114" s="14"/>
      <c r="AB114" s="14"/>
      <c r="AC114" s="11"/>
      <c r="AD114" s="14"/>
      <c r="AE114" s="14"/>
      <c r="AF114" s="11" t="str">
        <f t="shared" si="18"/>
        <v/>
      </c>
      <c r="AG114" s="14"/>
      <c r="AH114" s="14"/>
      <c r="AI114" s="11" t="str">
        <f t="shared" si="19"/>
        <v/>
      </c>
      <c r="AJ114" s="14"/>
      <c r="AK114" s="11" t="str">
        <f t="shared" si="20"/>
        <v/>
      </c>
      <c r="AL114" s="11" t="str">
        <f t="shared" si="21"/>
        <v/>
      </c>
      <c r="AM114" s="11">
        <f t="shared" si="22"/>
        <v>0</v>
      </c>
      <c r="AN114" s="15" t="str">
        <f t="shared" si="23"/>
        <v/>
      </c>
      <c r="AO114" s="15"/>
      <c r="AP114" s="16"/>
      <c r="AQ114" s="21"/>
      <c r="BC114" s="60">
        <f t="shared" si="17"/>
        <v>0</v>
      </c>
      <c r="BJ114" s="60">
        <f t="shared" si="24"/>
        <v>0</v>
      </c>
    </row>
    <row r="115" spans="1:62" s="17" customFormat="1" x14ac:dyDescent="0.3">
      <c r="A115" s="23">
        <v>113</v>
      </c>
      <c r="B115" s="7"/>
      <c r="C115" s="14"/>
      <c r="D115" s="14"/>
      <c r="E115" s="11"/>
      <c r="F115" s="14"/>
      <c r="G115" s="14"/>
      <c r="H115" s="11"/>
      <c r="I115" s="7"/>
      <c r="J115" s="14"/>
      <c r="K115" s="11"/>
      <c r="L115" s="7">
        <v>111</v>
      </c>
      <c r="M115" s="14"/>
      <c r="N115" s="11"/>
      <c r="O115" s="7">
        <v>111</v>
      </c>
      <c r="P115" s="14"/>
      <c r="Q115" s="11"/>
      <c r="R115" s="7">
        <v>111</v>
      </c>
      <c r="S115" s="14"/>
      <c r="T115" s="11"/>
      <c r="U115" s="14"/>
      <c r="V115" s="14"/>
      <c r="W115" s="11"/>
      <c r="X115" s="14"/>
      <c r="Y115" s="14"/>
      <c r="Z115" s="11"/>
      <c r="AA115" s="14"/>
      <c r="AB115" s="14"/>
      <c r="AC115" s="11"/>
      <c r="AD115" s="14"/>
      <c r="AE115" s="14"/>
      <c r="AF115" s="11" t="str">
        <f t="shared" si="18"/>
        <v/>
      </c>
      <c r="AG115" s="14"/>
      <c r="AH115" s="14"/>
      <c r="AI115" s="11" t="str">
        <f t="shared" si="19"/>
        <v/>
      </c>
      <c r="AJ115" s="14"/>
      <c r="AK115" s="11" t="str">
        <f t="shared" si="20"/>
        <v/>
      </c>
      <c r="AL115" s="11" t="str">
        <f t="shared" si="21"/>
        <v/>
      </c>
      <c r="AM115" s="11">
        <f t="shared" si="22"/>
        <v>0</v>
      </c>
      <c r="AN115" s="15" t="str">
        <f t="shared" si="23"/>
        <v/>
      </c>
      <c r="AO115" s="15"/>
      <c r="AP115" s="16"/>
      <c r="AQ115" s="21"/>
      <c r="BC115" s="60">
        <f t="shared" si="17"/>
        <v>0</v>
      </c>
      <c r="BJ115" s="60">
        <f t="shared" si="24"/>
        <v>0</v>
      </c>
    </row>
    <row r="116" spans="1:62" s="17" customFormat="1" x14ac:dyDescent="0.3">
      <c r="A116" s="23">
        <v>114</v>
      </c>
      <c r="B116" s="7"/>
      <c r="C116" s="14"/>
      <c r="D116" s="14"/>
      <c r="E116" s="11"/>
      <c r="F116" s="14"/>
      <c r="G116" s="14"/>
      <c r="H116" s="11"/>
      <c r="I116" s="7"/>
      <c r="J116" s="14"/>
      <c r="K116" s="11"/>
      <c r="L116" s="7">
        <v>112</v>
      </c>
      <c r="M116" s="14"/>
      <c r="N116" s="11"/>
      <c r="O116" s="7">
        <v>112</v>
      </c>
      <c r="P116" s="14"/>
      <c r="Q116" s="11"/>
      <c r="R116" s="7">
        <v>112</v>
      </c>
      <c r="S116" s="14"/>
      <c r="T116" s="11"/>
      <c r="U116" s="14"/>
      <c r="V116" s="14"/>
      <c r="W116" s="11"/>
      <c r="X116" s="14"/>
      <c r="Y116" s="14"/>
      <c r="Z116" s="11"/>
      <c r="AA116" s="14"/>
      <c r="AB116" s="14"/>
      <c r="AC116" s="11"/>
      <c r="AD116" s="14"/>
      <c r="AE116" s="14"/>
      <c r="AF116" s="11" t="str">
        <f t="shared" si="18"/>
        <v/>
      </c>
      <c r="AG116" s="14"/>
      <c r="AH116" s="14"/>
      <c r="AI116" s="11" t="str">
        <f t="shared" si="19"/>
        <v/>
      </c>
      <c r="AJ116" s="14"/>
      <c r="AK116" s="11" t="str">
        <f t="shared" si="20"/>
        <v/>
      </c>
      <c r="AL116" s="11" t="str">
        <f t="shared" si="21"/>
        <v/>
      </c>
      <c r="AM116" s="11">
        <f t="shared" si="22"/>
        <v>0</v>
      </c>
      <c r="AN116" s="15" t="str">
        <f t="shared" si="23"/>
        <v/>
      </c>
      <c r="AO116" s="15"/>
      <c r="AP116" s="16"/>
      <c r="AQ116" s="21"/>
      <c r="BC116" s="60">
        <f t="shared" si="17"/>
        <v>0</v>
      </c>
      <c r="BJ116" s="60">
        <f t="shared" si="24"/>
        <v>0</v>
      </c>
    </row>
    <row r="117" spans="1:62" s="17" customFormat="1" x14ac:dyDescent="0.3">
      <c r="A117" s="23">
        <v>115</v>
      </c>
      <c r="B117" s="7"/>
      <c r="C117" s="14"/>
      <c r="D117" s="14"/>
      <c r="E117" s="11"/>
      <c r="F117" s="14"/>
      <c r="G117" s="14"/>
      <c r="H117" s="11"/>
      <c r="I117" s="7"/>
      <c r="J117" s="14"/>
      <c r="K117" s="11"/>
      <c r="L117" s="7">
        <v>113</v>
      </c>
      <c r="M117" s="14"/>
      <c r="N117" s="11"/>
      <c r="O117" s="7">
        <v>113</v>
      </c>
      <c r="P117" s="14"/>
      <c r="Q117" s="11"/>
      <c r="R117" s="7">
        <v>113</v>
      </c>
      <c r="S117" s="14"/>
      <c r="T117" s="11"/>
      <c r="U117" s="14"/>
      <c r="V117" s="14"/>
      <c r="W117" s="11"/>
      <c r="X117" s="14"/>
      <c r="Y117" s="14"/>
      <c r="Z117" s="11"/>
      <c r="AA117" s="14"/>
      <c r="AB117" s="14"/>
      <c r="AC117" s="11"/>
      <c r="AD117" s="14"/>
      <c r="AE117" s="14"/>
      <c r="AF117" s="11" t="str">
        <f t="shared" si="18"/>
        <v/>
      </c>
      <c r="AG117" s="14"/>
      <c r="AH117" s="14"/>
      <c r="AI117" s="11" t="str">
        <f t="shared" si="19"/>
        <v/>
      </c>
      <c r="AJ117" s="14"/>
      <c r="AK117" s="11" t="str">
        <f t="shared" si="20"/>
        <v/>
      </c>
      <c r="AL117" s="11" t="str">
        <f t="shared" si="21"/>
        <v/>
      </c>
      <c r="AM117" s="11">
        <f t="shared" si="22"/>
        <v>0</v>
      </c>
      <c r="AN117" s="15" t="str">
        <f t="shared" si="23"/>
        <v/>
      </c>
      <c r="AO117" s="15"/>
      <c r="AP117" s="16"/>
      <c r="AQ117" s="21"/>
      <c r="BC117" s="60">
        <f t="shared" si="17"/>
        <v>0</v>
      </c>
      <c r="BJ117" s="60">
        <f t="shared" si="24"/>
        <v>0</v>
      </c>
    </row>
    <row r="118" spans="1:62" s="17" customFormat="1" x14ac:dyDescent="0.3">
      <c r="A118" s="23">
        <v>116</v>
      </c>
      <c r="B118" s="7"/>
      <c r="C118" s="14"/>
      <c r="D118" s="14"/>
      <c r="E118" s="11"/>
      <c r="F118" s="14"/>
      <c r="G118" s="14"/>
      <c r="H118" s="11"/>
      <c r="I118" s="7"/>
      <c r="J118" s="14"/>
      <c r="K118" s="11"/>
      <c r="L118" s="7">
        <v>114</v>
      </c>
      <c r="M118" s="14"/>
      <c r="N118" s="11"/>
      <c r="O118" s="7">
        <v>114</v>
      </c>
      <c r="P118" s="14"/>
      <c r="Q118" s="11"/>
      <c r="R118" s="7">
        <v>114</v>
      </c>
      <c r="S118" s="14"/>
      <c r="T118" s="11"/>
      <c r="U118" s="14"/>
      <c r="V118" s="14"/>
      <c r="W118" s="11"/>
      <c r="X118" s="14"/>
      <c r="Y118" s="14"/>
      <c r="Z118" s="11"/>
      <c r="AA118" s="14"/>
      <c r="AB118" s="14"/>
      <c r="AC118" s="11"/>
      <c r="AD118" s="14"/>
      <c r="AE118" s="14"/>
      <c r="AF118" s="11" t="str">
        <f t="shared" si="18"/>
        <v/>
      </c>
      <c r="AG118" s="14"/>
      <c r="AH118" s="14"/>
      <c r="AI118" s="11" t="str">
        <f t="shared" si="19"/>
        <v/>
      </c>
      <c r="AJ118" s="14"/>
      <c r="AK118" s="11" t="str">
        <f t="shared" si="20"/>
        <v/>
      </c>
      <c r="AL118" s="11" t="str">
        <f t="shared" si="21"/>
        <v/>
      </c>
      <c r="AM118" s="11">
        <f t="shared" si="22"/>
        <v>0</v>
      </c>
      <c r="AN118" s="15" t="str">
        <f t="shared" si="23"/>
        <v/>
      </c>
      <c r="AO118" s="15"/>
      <c r="AP118" s="16"/>
      <c r="AQ118" s="21"/>
      <c r="BC118" s="60">
        <f t="shared" si="17"/>
        <v>0</v>
      </c>
      <c r="BJ118" s="60">
        <f t="shared" si="24"/>
        <v>0</v>
      </c>
    </row>
    <row r="119" spans="1:62" s="17" customFormat="1" x14ac:dyDescent="0.3">
      <c r="A119" s="23">
        <v>117</v>
      </c>
      <c r="B119" s="7"/>
      <c r="C119" s="14"/>
      <c r="D119" s="14"/>
      <c r="E119" s="11"/>
      <c r="F119" s="14"/>
      <c r="G119" s="14"/>
      <c r="H119" s="11"/>
      <c r="I119" s="7"/>
      <c r="J119" s="14"/>
      <c r="K119" s="11"/>
      <c r="L119" s="7">
        <v>115</v>
      </c>
      <c r="M119" s="14"/>
      <c r="N119" s="11"/>
      <c r="O119" s="7">
        <v>115</v>
      </c>
      <c r="P119" s="14"/>
      <c r="Q119" s="11"/>
      <c r="R119" s="7">
        <v>115</v>
      </c>
      <c r="S119" s="14"/>
      <c r="T119" s="11"/>
      <c r="U119" s="14"/>
      <c r="V119" s="14"/>
      <c r="W119" s="11"/>
      <c r="X119" s="14"/>
      <c r="Y119" s="14"/>
      <c r="Z119" s="11"/>
      <c r="AA119" s="14"/>
      <c r="AB119" s="14"/>
      <c r="AC119" s="11"/>
      <c r="AD119" s="14"/>
      <c r="AE119" s="14"/>
      <c r="AF119" s="11" t="str">
        <f t="shared" si="18"/>
        <v/>
      </c>
      <c r="AG119" s="14"/>
      <c r="AH119" s="14"/>
      <c r="AI119" s="11" t="str">
        <f t="shared" si="19"/>
        <v/>
      </c>
      <c r="AJ119" s="14"/>
      <c r="AK119" s="11" t="str">
        <f t="shared" si="20"/>
        <v/>
      </c>
      <c r="AL119" s="11" t="str">
        <f t="shared" si="21"/>
        <v/>
      </c>
      <c r="AM119" s="11">
        <f t="shared" si="22"/>
        <v>0</v>
      </c>
      <c r="AN119" s="15" t="str">
        <f t="shared" si="23"/>
        <v/>
      </c>
      <c r="AO119" s="15"/>
      <c r="AP119" s="16"/>
      <c r="AQ119" s="21"/>
      <c r="BC119" s="60">
        <f t="shared" si="17"/>
        <v>0</v>
      </c>
      <c r="BJ119" s="60">
        <f t="shared" si="24"/>
        <v>0</v>
      </c>
    </row>
    <row r="120" spans="1:62" s="17" customFormat="1" x14ac:dyDescent="0.3">
      <c r="A120" s="23">
        <v>118</v>
      </c>
      <c r="B120" s="7"/>
      <c r="C120" s="14"/>
      <c r="D120" s="14"/>
      <c r="E120" s="11"/>
      <c r="F120" s="14"/>
      <c r="G120" s="14"/>
      <c r="H120" s="11"/>
      <c r="I120" s="7"/>
      <c r="J120" s="14"/>
      <c r="K120" s="11"/>
      <c r="L120" s="7">
        <v>116</v>
      </c>
      <c r="M120" s="14"/>
      <c r="N120" s="11"/>
      <c r="O120" s="7">
        <v>116</v>
      </c>
      <c r="P120" s="14"/>
      <c r="Q120" s="11"/>
      <c r="R120" s="7">
        <v>116</v>
      </c>
      <c r="S120" s="14"/>
      <c r="T120" s="11"/>
      <c r="U120" s="14"/>
      <c r="V120" s="14"/>
      <c r="W120" s="11"/>
      <c r="X120" s="14"/>
      <c r="Y120" s="14"/>
      <c r="Z120" s="11"/>
      <c r="AA120" s="14"/>
      <c r="AB120" s="14"/>
      <c r="AC120" s="11"/>
      <c r="AD120" s="14"/>
      <c r="AE120" s="14"/>
      <c r="AF120" s="11" t="str">
        <f t="shared" si="18"/>
        <v/>
      </c>
      <c r="AG120" s="14"/>
      <c r="AH120" s="14"/>
      <c r="AI120" s="11" t="str">
        <f t="shared" si="19"/>
        <v/>
      </c>
      <c r="AJ120" s="14"/>
      <c r="AK120" s="11" t="str">
        <f t="shared" si="20"/>
        <v/>
      </c>
      <c r="AL120" s="11" t="str">
        <f t="shared" si="21"/>
        <v/>
      </c>
      <c r="AM120" s="11">
        <f t="shared" si="22"/>
        <v>0</v>
      </c>
      <c r="AN120" s="15" t="str">
        <f t="shared" si="23"/>
        <v/>
      </c>
      <c r="AO120" s="15"/>
      <c r="AP120" s="16"/>
      <c r="AQ120" s="21"/>
      <c r="BC120" s="60">
        <f t="shared" ref="BC120:BC183" si="25">BB120-BA120</f>
        <v>0</v>
      </c>
      <c r="BJ120" s="60">
        <f t="shared" si="24"/>
        <v>0</v>
      </c>
    </row>
    <row r="121" spans="1:62" s="17" customFormat="1" x14ac:dyDescent="0.3">
      <c r="A121" s="23">
        <v>119</v>
      </c>
      <c r="B121" s="7"/>
      <c r="C121" s="14"/>
      <c r="D121" s="14"/>
      <c r="E121" s="11"/>
      <c r="F121" s="14"/>
      <c r="G121" s="14"/>
      <c r="H121" s="11"/>
      <c r="I121" s="7"/>
      <c r="J121" s="14"/>
      <c r="K121" s="11"/>
      <c r="L121" s="7">
        <v>117</v>
      </c>
      <c r="M121" s="14"/>
      <c r="N121" s="11"/>
      <c r="O121" s="7">
        <v>117</v>
      </c>
      <c r="P121" s="14"/>
      <c r="Q121" s="11"/>
      <c r="R121" s="7">
        <v>117</v>
      </c>
      <c r="S121" s="14"/>
      <c r="T121" s="11"/>
      <c r="U121" s="14"/>
      <c r="V121" s="14"/>
      <c r="W121" s="11"/>
      <c r="X121" s="14"/>
      <c r="Y121" s="14"/>
      <c r="Z121" s="11"/>
      <c r="AA121" s="14"/>
      <c r="AB121" s="14"/>
      <c r="AC121" s="11"/>
      <c r="AD121" s="14"/>
      <c r="AE121" s="14"/>
      <c r="AF121" s="11" t="str">
        <f t="shared" si="18"/>
        <v/>
      </c>
      <c r="AG121" s="14"/>
      <c r="AH121" s="14"/>
      <c r="AI121" s="11" t="str">
        <f t="shared" si="19"/>
        <v/>
      </c>
      <c r="AJ121" s="14"/>
      <c r="AK121" s="11" t="str">
        <f t="shared" si="20"/>
        <v/>
      </c>
      <c r="AL121" s="11" t="str">
        <f t="shared" si="21"/>
        <v/>
      </c>
      <c r="AM121" s="11">
        <f t="shared" si="22"/>
        <v>0</v>
      </c>
      <c r="AN121" s="15" t="str">
        <f t="shared" si="23"/>
        <v/>
      </c>
      <c r="AO121" s="15"/>
      <c r="AP121" s="16"/>
      <c r="AQ121" s="21"/>
      <c r="BC121" s="60">
        <f t="shared" si="25"/>
        <v>0</v>
      </c>
      <c r="BJ121" s="60">
        <f t="shared" si="24"/>
        <v>0</v>
      </c>
    </row>
    <row r="122" spans="1:62" s="17" customFormat="1" x14ac:dyDescent="0.3">
      <c r="A122" s="23">
        <v>120</v>
      </c>
      <c r="B122" s="7"/>
      <c r="C122" s="14"/>
      <c r="D122" s="14"/>
      <c r="E122" s="11"/>
      <c r="F122" s="14"/>
      <c r="G122" s="14"/>
      <c r="H122" s="11"/>
      <c r="I122" s="7"/>
      <c r="J122" s="14"/>
      <c r="K122" s="11"/>
      <c r="L122" s="7">
        <v>118</v>
      </c>
      <c r="M122" s="14"/>
      <c r="N122" s="11"/>
      <c r="O122" s="7">
        <v>118</v>
      </c>
      <c r="P122" s="14"/>
      <c r="Q122" s="11"/>
      <c r="R122" s="7">
        <v>118</v>
      </c>
      <c r="S122" s="14"/>
      <c r="T122" s="11"/>
      <c r="U122" s="14"/>
      <c r="V122" s="14"/>
      <c r="W122" s="11"/>
      <c r="X122" s="14"/>
      <c r="Y122" s="14"/>
      <c r="Z122" s="11"/>
      <c r="AA122" s="14"/>
      <c r="AB122" s="14"/>
      <c r="AC122" s="11"/>
      <c r="AD122" s="14"/>
      <c r="AE122" s="14"/>
      <c r="AF122" s="11" t="str">
        <f t="shared" si="18"/>
        <v/>
      </c>
      <c r="AG122" s="14"/>
      <c r="AH122" s="14"/>
      <c r="AI122" s="11" t="str">
        <f t="shared" si="19"/>
        <v/>
      </c>
      <c r="AJ122" s="14"/>
      <c r="AK122" s="11" t="str">
        <f t="shared" si="20"/>
        <v/>
      </c>
      <c r="AL122" s="11" t="str">
        <f t="shared" si="21"/>
        <v/>
      </c>
      <c r="AM122" s="11">
        <f t="shared" si="22"/>
        <v>0</v>
      </c>
      <c r="AN122" s="15" t="str">
        <f t="shared" si="23"/>
        <v/>
      </c>
      <c r="AO122" s="15"/>
      <c r="AP122" s="16"/>
      <c r="AQ122" s="21"/>
      <c r="BC122" s="60">
        <f t="shared" si="25"/>
        <v>0</v>
      </c>
      <c r="BJ122" s="60">
        <f t="shared" si="24"/>
        <v>0</v>
      </c>
    </row>
    <row r="123" spans="1:62" s="17" customFormat="1" x14ac:dyDescent="0.3">
      <c r="A123" s="23">
        <v>121</v>
      </c>
      <c r="B123" s="7"/>
      <c r="C123" s="14"/>
      <c r="D123" s="14"/>
      <c r="E123" s="11"/>
      <c r="F123" s="14"/>
      <c r="G123" s="14"/>
      <c r="H123" s="11"/>
      <c r="I123" s="7"/>
      <c r="J123" s="14"/>
      <c r="K123" s="11"/>
      <c r="L123" s="7">
        <v>119</v>
      </c>
      <c r="M123" s="14"/>
      <c r="N123" s="11"/>
      <c r="O123" s="7">
        <v>119</v>
      </c>
      <c r="P123" s="14"/>
      <c r="Q123" s="11"/>
      <c r="R123" s="7">
        <v>119</v>
      </c>
      <c r="S123" s="14"/>
      <c r="T123" s="11"/>
      <c r="U123" s="14"/>
      <c r="V123" s="14"/>
      <c r="W123" s="11"/>
      <c r="X123" s="14"/>
      <c r="Y123" s="14"/>
      <c r="Z123" s="11"/>
      <c r="AA123" s="14"/>
      <c r="AB123" s="14"/>
      <c r="AC123" s="11"/>
      <c r="AD123" s="14"/>
      <c r="AE123" s="14"/>
      <c r="AF123" s="11" t="str">
        <f t="shared" si="18"/>
        <v/>
      </c>
      <c r="AG123" s="14"/>
      <c r="AH123" s="14"/>
      <c r="AI123" s="11" t="str">
        <f t="shared" si="19"/>
        <v/>
      </c>
      <c r="AJ123" s="14"/>
      <c r="AK123" s="11" t="str">
        <f t="shared" si="20"/>
        <v/>
      </c>
      <c r="AL123" s="11" t="str">
        <f t="shared" si="21"/>
        <v/>
      </c>
      <c r="AM123" s="11">
        <f t="shared" si="22"/>
        <v>0</v>
      </c>
      <c r="AN123" s="15" t="str">
        <f t="shared" si="23"/>
        <v/>
      </c>
      <c r="AO123" s="15"/>
      <c r="AP123" s="16"/>
      <c r="AQ123" s="21"/>
      <c r="BC123" s="60">
        <f t="shared" si="25"/>
        <v>0</v>
      </c>
      <c r="BJ123" s="60">
        <f t="shared" si="24"/>
        <v>0</v>
      </c>
    </row>
    <row r="124" spans="1:62" s="17" customFormat="1" x14ac:dyDescent="0.3">
      <c r="A124" s="23">
        <v>122</v>
      </c>
      <c r="B124" s="7"/>
      <c r="C124" s="14"/>
      <c r="D124" s="14"/>
      <c r="E124" s="11"/>
      <c r="F124" s="14"/>
      <c r="G124" s="14"/>
      <c r="H124" s="11"/>
      <c r="I124" s="7"/>
      <c r="J124" s="14"/>
      <c r="K124" s="11"/>
      <c r="L124" s="7">
        <v>120</v>
      </c>
      <c r="M124" s="14"/>
      <c r="N124" s="11"/>
      <c r="O124" s="7">
        <v>120</v>
      </c>
      <c r="P124" s="14"/>
      <c r="Q124" s="11"/>
      <c r="R124" s="7">
        <v>120</v>
      </c>
      <c r="S124" s="14"/>
      <c r="T124" s="11"/>
      <c r="U124" s="14"/>
      <c r="V124" s="14"/>
      <c r="W124" s="11"/>
      <c r="X124" s="14"/>
      <c r="Y124" s="14"/>
      <c r="Z124" s="11"/>
      <c r="AA124" s="14"/>
      <c r="AB124" s="14"/>
      <c r="AC124" s="11"/>
      <c r="AD124" s="14"/>
      <c r="AE124" s="14"/>
      <c r="AF124" s="11" t="str">
        <f t="shared" si="18"/>
        <v/>
      </c>
      <c r="AG124" s="14"/>
      <c r="AH124" s="14"/>
      <c r="AI124" s="11" t="str">
        <f t="shared" si="19"/>
        <v/>
      </c>
      <c r="AJ124" s="14"/>
      <c r="AK124" s="11" t="str">
        <f t="shared" si="20"/>
        <v/>
      </c>
      <c r="AL124" s="11" t="str">
        <f t="shared" si="21"/>
        <v/>
      </c>
      <c r="AM124" s="11">
        <f t="shared" si="22"/>
        <v>0</v>
      </c>
      <c r="AN124" s="15" t="str">
        <f t="shared" si="23"/>
        <v/>
      </c>
      <c r="AO124" s="15"/>
      <c r="AP124" s="16"/>
      <c r="AQ124" s="21"/>
      <c r="BC124" s="60">
        <f t="shared" si="25"/>
        <v>0</v>
      </c>
      <c r="BJ124" s="60">
        <f t="shared" si="24"/>
        <v>0</v>
      </c>
    </row>
    <row r="125" spans="1:62" s="17" customFormat="1" x14ac:dyDescent="0.3">
      <c r="A125" s="23">
        <v>123</v>
      </c>
      <c r="B125" s="7"/>
      <c r="C125" s="14"/>
      <c r="D125" s="14"/>
      <c r="E125" s="11"/>
      <c r="F125" s="14"/>
      <c r="G125" s="14"/>
      <c r="H125" s="11"/>
      <c r="I125" s="7"/>
      <c r="J125" s="14"/>
      <c r="K125" s="11"/>
      <c r="L125" s="7">
        <v>121</v>
      </c>
      <c r="M125" s="14"/>
      <c r="N125" s="11"/>
      <c r="O125" s="7">
        <v>121</v>
      </c>
      <c r="P125" s="14"/>
      <c r="Q125" s="11"/>
      <c r="R125" s="7">
        <v>121</v>
      </c>
      <c r="S125" s="14"/>
      <c r="T125" s="11"/>
      <c r="U125" s="14"/>
      <c r="V125" s="14"/>
      <c r="W125" s="11"/>
      <c r="X125" s="14"/>
      <c r="Y125" s="14"/>
      <c r="Z125" s="11"/>
      <c r="AA125" s="14"/>
      <c r="AB125" s="14"/>
      <c r="AC125" s="11"/>
      <c r="AD125" s="14"/>
      <c r="AE125" s="14"/>
      <c r="AF125" s="11" t="str">
        <f t="shared" si="18"/>
        <v/>
      </c>
      <c r="AG125" s="14"/>
      <c r="AH125" s="14"/>
      <c r="AI125" s="11" t="str">
        <f t="shared" si="19"/>
        <v/>
      </c>
      <c r="AJ125" s="14"/>
      <c r="AK125" s="11" t="str">
        <f t="shared" si="20"/>
        <v/>
      </c>
      <c r="AL125" s="11" t="str">
        <f t="shared" si="21"/>
        <v/>
      </c>
      <c r="AM125" s="11">
        <f t="shared" si="22"/>
        <v>0</v>
      </c>
      <c r="AN125" s="15" t="str">
        <f t="shared" si="23"/>
        <v/>
      </c>
      <c r="AO125" s="15"/>
      <c r="AP125" s="16"/>
      <c r="AQ125" s="21"/>
      <c r="BC125" s="60">
        <f t="shared" si="25"/>
        <v>0</v>
      </c>
      <c r="BJ125" s="60">
        <f t="shared" si="24"/>
        <v>0</v>
      </c>
    </row>
    <row r="126" spans="1:62" s="17" customFormat="1" x14ac:dyDescent="0.3">
      <c r="A126" s="23">
        <v>124</v>
      </c>
      <c r="B126" s="7"/>
      <c r="C126" s="14"/>
      <c r="D126" s="14"/>
      <c r="E126" s="11"/>
      <c r="F126" s="14"/>
      <c r="G126" s="14"/>
      <c r="H126" s="11"/>
      <c r="I126" s="7"/>
      <c r="J126" s="14"/>
      <c r="K126" s="11"/>
      <c r="L126" s="7">
        <v>122</v>
      </c>
      <c r="M126" s="14"/>
      <c r="N126" s="11"/>
      <c r="O126" s="7">
        <v>122</v>
      </c>
      <c r="P126" s="14"/>
      <c r="Q126" s="11"/>
      <c r="R126" s="7">
        <v>122</v>
      </c>
      <c r="S126" s="14"/>
      <c r="T126" s="11"/>
      <c r="U126" s="14"/>
      <c r="V126" s="14"/>
      <c r="W126" s="11"/>
      <c r="X126" s="14"/>
      <c r="Y126" s="14"/>
      <c r="Z126" s="11"/>
      <c r="AA126" s="14"/>
      <c r="AB126" s="14"/>
      <c r="AC126" s="11"/>
      <c r="AD126" s="14"/>
      <c r="AE126" s="14"/>
      <c r="AF126" s="11" t="str">
        <f t="shared" si="18"/>
        <v/>
      </c>
      <c r="AG126" s="14"/>
      <c r="AH126" s="14"/>
      <c r="AI126" s="11" t="str">
        <f t="shared" si="19"/>
        <v/>
      </c>
      <c r="AJ126" s="14"/>
      <c r="AK126" s="11" t="str">
        <f t="shared" si="20"/>
        <v/>
      </c>
      <c r="AL126" s="11" t="str">
        <f t="shared" si="21"/>
        <v/>
      </c>
      <c r="AM126" s="11">
        <f t="shared" si="22"/>
        <v>0</v>
      </c>
      <c r="AN126" s="15" t="str">
        <f t="shared" si="23"/>
        <v/>
      </c>
      <c r="AO126" s="15"/>
      <c r="AP126" s="16"/>
      <c r="AQ126" s="21"/>
      <c r="BC126" s="60">
        <f t="shared" si="25"/>
        <v>0</v>
      </c>
      <c r="BJ126" s="60">
        <f t="shared" si="24"/>
        <v>0</v>
      </c>
    </row>
    <row r="127" spans="1:62" s="17" customFormat="1" x14ac:dyDescent="0.3">
      <c r="A127" s="23">
        <v>125</v>
      </c>
      <c r="B127" s="7"/>
      <c r="C127" s="14"/>
      <c r="D127" s="14"/>
      <c r="E127" s="11"/>
      <c r="F127" s="14"/>
      <c r="G127" s="14"/>
      <c r="H127" s="11"/>
      <c r="I127" s="7"/>
      <c r="J127" s="14"/>
      <c r="K127" s="11"/>
      <c r="L127" s="7">
        <v>123</v>
      </c>
      <c r="M127" s="14"/>
      <c r="N127" s="11"/>
      <c r="O127" s="7">
        <v>123</v>
      </c>
      <c r="P127" s="14"/>
      <c r="Q127" s="11"/>
      <c r="R127" s="7">
        <v>123</v>
      </c>
      <c r="S127" s="14"/>
      <c r="T127" s="11"/>
      <c r="U127" s="14"/>
      <c r="V127" s="14"/>
      <c r="W127" s="11"/>
      <c r="X127" s="14"/>
      <c r="Y127" s="14"/>
      <c r="Z127" s="11"/>
      <c r="AA127" s="14"/>
      <c r="AB127" s="14"/>
      <c r="AC127" s="11"/>
      <c r="AD127" s="14"/>
      <c r="AE127" s="14"/>
      <c r="AF127" s="11" t="str">
        <f t="shared" si="18"/>
        <v/>
      </c>
      <c r="AG127" s="14"/>
      <c r="AH127" s="14"/>
      <c r="AI127" s="11" t="str">
        <f t="shared" si="19"/>
        <v/>
      </c>
      <c r="AJ127" s="14"/>
      <c r="AK127" s="11" t="str">
        <f t="shared" si="20"/>
        <v/>
      </c>
      <c r="AL127" s="11" t="str">
        <f t="shared" si="21"/>
        <v/>
      </c>
      <c r="AM127" s="11">
        <f t="shared" si="22"/>
        <v>0</v>
      </c>
      <c r="AN127" s="15" t="str">
        <f t="shared" si="23"/>
        <v/>
      </c>
      <c r="AO127" s="15"/>
      <c r="AP127" s="16"/>
      <c r="AQ127" s="21"/>
      <c r="BC127" s="60">
        <f t="shared" si="25"/>
        <v>0</v>
      </c>
      <c r="BJ127" s="60">
        <f t="shared" si="24"/>
        <v>0</v>
      </c>
    </row>
    <row r="128" spans="1:62" s="17" customFormat="1" x14ac:dyDescent="0.3">
      <c r="A128" s="23">
        <v>126</v>
      </c>
      <c r="B128" s="7"/>
      <c r="C128" s="14"/>
      <c r="D128" s="14"/>
      <c r="E128" s="11"/>
      <c r="F128" s="14"/>
      <c r="G128" s="14"/>
      <c r="H128" s="11"/>
      <c r="I128" s="7"/>
      <c r="J128" s="14"/>
      <c r="K128" s="11"/>
      <c r="L128" s="7">
        <v>124</v>
      </c>
      <c r="M128" s="14"/>
      <c r="N128" s="11"/>
      <c r="O128" s="7">
        <v>124</v>
      </c>
      <c r="P128" s="14"/>
      <c r="Q128" s="11"/>
      <c r="R128" s="7">
        <v>124</v>
      </c>
      <c r="S128" s="14"/>
      <c r="T128" s="11"/>
      <c r="U128" s="14"/>
      <c r="V128" s="14"/>
      <c r="W128" s="11"/>
      <c r="X128" s="14"/>
      <c r="Y128" s="14"/>
      <c r="Z128" s="11"/>
      <c r="AA128" s="14"/>
      <c r="AB128" s="14"/>
      <c r="AC128" s="11"/>
      <c r="AD128" s="14"/>
      <c r="AE128" s="14"/>
      <c r="AF128" s="11" t="str">
        <f t="shared" si="18"/>
        <v/>
      </c>
      <c r="AG128" s="14"/>
      <c r="AH128" s="14"/>
      <c r="AI128" s="11" t="str">
        <f t="shared" si="19"/>
        <v/>
      </c>
      <c r="AJ128" s="14"/>
      <c r="AK128" s="11" t="str">
        <f t="shared" si="20"/>
        <v/>
      </c>
      <c r="AL128" s="11" t="str">
        <f t="shared" si="21"/>
        <v/>
      </c>
      <c r="AM128" s="11">
        <f t="shared" si="22"/>
        <v>0</v>
      </c>
      <c r="AN128" s="15" t="str">
        <f t="shared" si="23"/>
        <v/>
      </c>
      <c r="AO128" s="15"/>
      <c r="AP128" s="16"/>
      <c r="AQ128" s="21"/>
      <c r="BC128" s="60">
        <f t="shared" si="25"/>
        <v>0</v>
      </c>
      <c r="BJ128" s="60">
        <f t="shared" si="24"/>
        <v>0</v>
      </c>
    </row>
    <row r="129" spans="1:62" s="17" customFormat="1" x14ac:dyDescent="0.3">
      <c r="A129" s="23">
        <v>127</v>
      </c>
      <c r="B129" s="7"/>
      <c r="C129" s="14"/>
      <c r="D129" s="14"/>
      <c r="E129" s="11"/>
      <c r="F129" s="14"/>
      <c r="G129" s="14"/>
      <c r="H129" s="11"/>
      <c r="I129" s="7"/>
      <c r="J129" s="14"/>
      <c r="K129" s="11"/>
      <c r="L129" s="7">
        <v>125</v>
      </c>
      <c r="M129" s="14"/>
      <c r="N129" s="11"/>
      <c r="O129" s="7">
        <v>125</v>
      </c>
      <c r="P129" s="14"/>
      <c r="Q129" s="11"/>
      <c r="R129" s="7">
        <v>125</v>
      </c>
      <c r="S129" s="14"/>
      <c r="T129" s="11"/>
      <c r="U129" s="14"/>
      <c r="V129" s="14"/>
      <c r="W129" s="11"/>
      <c r="X129" s="14"/>
      <c r="Y129" s="14"/>
      <c r="Z129" s="11"/>
      <c r="AA129" s="14"/>
      <c r="AB129" s="14"/>
      <c r="AC129" s="11"/>
      <c r="AD129" s="14"/>
      <c r="AE129" s="14"/>
      <c r="AF129" s="11" t="str">
        <f t="shared" si="18"/>
        <v/>
      </c>
      <c r="AG129" s="14"/>
      <c r="AH129" s="14"/>
      <c r="AI129" s="11" t="str">
        <f t="shared" si="19"/>
        <v/>
      </c>
      <c r="AJ129" s="14"/>
      <c r="AK129" s="11" t="str">
        <f t="shared" si="20"/>
        <v/>
      </c>
      <c r="AL129" s="11" t="str">
        <f t="shared" si="21"/>
        <v/>
      </c>
      <c r="AM129" s="11">
        <f t="shared" si="22"/>
        <v>0</v>
      </c>
      <c r="AN129" s="15" t="str">
        <f t="shared" si="23"/>
        <v/>
      </c>
      <c r="AO129" s="15"/>
      <c r="AP129" s="16"/>
      <c r="AQ129" s="21"/>
      <c r="BC129" s="60">
        <f t="shared" si="25"/>
        <v>0</v>
      </c>
      <c r="BJ129" s="60">
        <f t="shared" si="24"/>
        <v>0</v>
      </c>
    </row>
    <row r="130" spans="1:62" s="17" customFormat="1" x14ac:dyDescent="0.3">
      <c r="A130" s="23">
        <v>128</v>
      </c>
      <c r="B130" s="7"/>
      <c r="C130" s="14"/>
      <c r="D130" s="14"/>
      <c r="E130" s="11"/>
      <c r="F130" s="14"/>
      <c r="G130" s="14"/>
      <c r="H130" s="11"/>
      <c r="I130" s="7"/>
      <c r="J130" s="14"/>
      <c r="K130" s="11"/>
      <c r="L130" s="7">
        <v>126</v>
      </c>
      <c r="M130" s="14"/>
      <c r="N130" s="11"/>
      <c r="O130" s="7">
        <v>126</v>
      </c>
      <c r="P130" s="14"/>
      <c r="Q130" s="11"/>
      <c r="R130" s="7">
        <v>126</v>
      </c>
      <c r="S130" s="14"/>
      <c r="T130" s="11"/>
      <c r="U130" s="14"/>
      <c r="V130" s="14"/>
      <c r="W130" s="11"/>
      <c r="X130" s="14"/>
      <c r="Y130" s="14"/>
      <c r="Z130" s="11"/>
      <c r="AA130" s="14"/>
      <c r="AB130" s="14"/>
      <c r="AC130" s="11"/>
      <c r="AD130" s="14"/>
      <c r="AE130" s="14"/>
      <c r="AF130" s="11" t="str">
        <f t="shared" si="18"/>
        <v/>
      </c>
      <c r="AG130" s="14"/>
      <c r="AH130" s="14"/>
      <c r="AI130" s="11" t="str">
        <f t="shared" si="19"/>
        <v/>
      </c>
      <c r="AJ130" s="14"/>
      <c r="AK130" s="11" t="str">
        <f t="shared" si="20"/>
        <v/>
      </c>
      <c r="AL130" s="11" t="str">
        <f t="shared" si="21"/>
        <v/>
      </c>
      <c r="AM130" s="11">
        <f t="shared" si="22"/>
        <v>0</v>
      </c>
      <c r="AN130" s="15" t="str">
        <f t="shared" si="23"/>
        <v/>
      </c>
      <c r="AO130" s="15"/>
      <c r="AP130" s="16"/>
      <c r="AQ130" s="21"/>
      <c r="BC130" s="60">
        <f t="shared" si="25"/>
        <v>0</v>
      </c>
      <c r="BJ130" s="60">
        <f t="shared" si="24"/>
        <v>0</v>
      </c>
    </row>
    <row r="131" spans="1:62" s="17" customFormat="1" x14ac:dyDescent="0.3">
      <c r="A131" s="23">
        <v>129</v>
      </c>
      <c r="B131" s="7"/>
      <c r="C131" s="14"/>
      <c r="D131" s="14"/>
      <c r="E131" s="11"/>
      <c r="F131" s="14"/>
      <c r="G131" s="14"/>
      <c r="H131" s="11"/>
      <c r="I131" s="7"/>
      <c r="J131" s="14"/>
      <c r="K131" s="11"/>
      <c r="L131" s="7">
        <v>127</v>
      </c>
      <c r="M131" s="14"/>
      <c r="N131" s="11"/>
      <c r="O131" s="7">
        <v>127</v>
      </c>
      <c r="P131" s="14"/>
      <c r="Q131" s="11"/>
      <c r="R131" s="7">
        <v>127</v>
      </c>
      <c r="S131" s="14"/>
      <c r="T131" s="11"/>
      <c r="U131" s="14"/>
      <c r="V131" s="14"/>
      <c r="W131" s="11"/>
      <c r="X131" s="14"/>
      <c r="Y131" s="14"/>
      <c r="Z131" s="11"/>
      <c r="AA131" s="14"/>
      <c r="AB131" s="14"/>
      <c r="AC131" s="11"/>
      <c r="AD131" s="14"/>
      <c r="AE131" s="14"/>
      <c r="AF131" s="11" t="str">
        <f t="shared" si="18"/>
        <v/>
      </c>
      <c r="AG131" s="14"/>
      <c r="AH131" s="14"/>
      <c r="AI131" s="11" t="str">
        <f t="shared" si="19"/>
        <v/>
      </c>
      <c r="AJ131" s="14"/>
      <c r="AK131" s="11" t="str">
        <f t="shared" si="20"/>
        <v/>
      </c>
      <c r="AL131" s="11" t="str">
        <f t="shared" si="21"/>
        <v/>
      </c>
      <c r="AM131" s="11">
        <f t="shared" si="22"/>
        <v>0</v>
      </c>
      <c r="AN131" s="15" t="str">
        <f t="shared" si="23"/>
        <v/>
      </c>
      <c r="AO131" s="15"/>
      <c r="AP131" s="16"/>
      <c r="AQ131" s="21"/>
      <c r="BC131" s="60">
        <f t="shared" si="25"/>
        <v>0</v>
      </c>
      <c r="BJ131" s="60">
        <f t="shared" si="24"/>
        <v>0</v>
      </c>
    </row>
    <row r="132" spans="1:62" s="17" customFormat="1" x14ac:dyDescent="0.3">
      <c r="A132" s="23">
        <v>130</v>
      </c>
      <c r="B132" s="7"/>
      <c r="C132" s="14"/>
      <c r="D132" s="14"/>
      <c r="E132" s="11"/>
      <c r="F132" s="14"/>
      <c r="G132" s="14"/>
      <c r="H132" s="11"/>
      <c r="I132" s="7"/>
      <c r="J132" s="14"/>
      <c r="K132" s="11"/>
      <c r="L132" s="7">
        <v>128</v>
      </c>
      <c r="M132" s="14"/>
      <c r="N132" s="11"/>
      <c r="O132" s="7">
        <v>128</v>
      </c>
      <c r="P132" s="14"/>
      <c r="Q132" s="11"/>
      <c r="R132" s="7">
        <v>128</v>
      </c>
      <c r="S132" s="14"/>
      <c r="T132" s="11"/>
      <c r="U132" s="14"/>
      <c r="V132" s="14"/>
      <c r="W132" s="11"/>
      <c r="X132" s="14"/>
      <c r="Y132" s="14"/>
      <c r="Z132" s="11"/>
      <c r="AA132" s="14"/>
      <c r="AB132" s="14"/>
      <c r="AC132" s="11"/>
      <c r="AD132" s="14"/>
      <c r="AE132" s="14"/>
      <c r="AF132" s="11" t="str">
        <f t="shared" si="18"/>
        <v/>
      </c>
      <c r="AG132" s="14"/>
      <c r="AH132" s="14"/>
      <c r="AI132" s="11" t="str">
        <f t="shared" si="19"/>
        <v/>
      </c>
      <c r="AJ132" s="14"/>
      <c r="AK132" s="11" t="str">
        <f t="shared" si="20"/>
        <v/>
      </c>
      <c r="AL132" s="11" t="str">
        <f t="shared" si="21"/>
        <v/>
      </c>
      <c r="AM132" s="11">
        <f t="shared" si="22"/>
        <v>0</v>
      </c>
      <c r="AN132" s="15" t="str">
        <f t="shared" si="23"/>
        <v/>
      </c>
      <c r="AO132" s="15"/>
      <c r="AP132" s="16"/>
      <c r="AQ132" s="21"/>
      <c r="BC132" s="60">
        <f t="shared" si="25"/>
        <v>0</v>
      </c>
      <c r="BJ132" s="60">
        <f t="shared" si="24"/>
        <v>0</v>
      </c>
    </row>
    <row r="133" spans="1:62" s="17" customFormat="1" x14ac:dyDescent="0.3">
      <c r="A133" s="23">
        <v>131</v>
      </c>
      <c r="B133" s="7"/>
      <c r="C133" s="14"/>
      <c r="D133" s="14"/>
      <c r="E133" s="11"/>
      <c r="F133" s="14"/>
      <c r="G133" s="14"/>
      <c r="H133" s="11"/>
      <c r="I133" s="7"/>
      <c r="J133" s="14"/>
      <c r="K133" s="11"/>
      <c r="L133" s="7">
        <v>129</v>
      </c>
      <c r="M133" s="14"/>
      <c r="N133" s="11"/>
      <c r="O133" s="7">
        <v>129</v>
      </c>
      <c r="P133" s="14"/>
      <c r="Q133" s="11"/>
      <c r="R133" s="7">
        <v>129</v>
      </c>
      <c r="S133" s="14"/>
      <c r="T133" s="11"/>
      <c r="U133" s="14"/>
      <c r="V133" s="14"/>
      <c r="W133" s="11"/>
      <c r="X133" s="14"/>
      <c r="Y133" s="14"/>
      <c r="Z133" s="11"/>
      <c r="AA133" s="14"/>
      <c r="AB133" s="14"/>
      <c r="AC133" s="11"/>
      <c r="AD133" s="14"/>
      <c r="AE133" s="14"/>
      <c r="AF133" s="11" t="str">
        <f t="shared" ref="AF133:AF196" si="26">IF(AND(AD133&lt;&gt;"",AE133&lt;&gt;""),(AE133-AD133)*1440,"")</f>
        <v/>
      </c>
      <c r="AG133" s="14"/>
      <c r="AH133" s="14"/>
      <c r="AI133" s="11" t="str">
        <f t="shared" ref="AI133:AI196" si="27">IF(AND(AG133&lt;&gt;"",AH133&lt;&gt;""),(AH133-AG133)*1440,"")</f>
        <v/>
      </c>
      <c r="AJ133" s="14"/>
      <c r="AK133" s="11" t="str">
        <f t="shared" ref="AK133:AK196" si="28">IF(AND(C133&lt;&gt;"",AJ133&lt;&gt;""),(AJ133-C133)*1440,"")</f>
        <v/>
      </c>
      <c r="AL133" s="11" t="str">
        <f t="shared" ref="AL133:AL196" si="29">IF(AC133="","",ROUND(N(AC133),1))</f>
        <v/>
      </c>
      <c r="AM133" s="11">
        <f t="shared" ref="AM133:AM196" si="30">IF(COUNT(D133,G133,J133,M133,P133,S133,V133,Y133,AF133,AI133,AT133,AW133,AZ133,BC133,BF133)=0,"",ROUND(N(D133)*1440+N(G133)*1440+N(J133)*1440+N(M133)*1440+N(P133)*1440+N(S133)*1440+N(V133)*1440+N(Y133)*1440+N(AF133)+N(AI133)+N(AT133)+N(AW133)+N(AZ133)+N(BC133)+N(BF133),1))</f>
        <v>0</v>
      </c>
      <c r="AN133" s="15" t="str">
        <f t="shared" ref="AN133:AN196" si="31">IF(OR(AK133="",AK133=0),"",AL133/AK133)</f>
        <v/>
      </c>
      <c r="AO133" s="15"/>
      <c r="AP133" s="16"/>
      <c r="AQ133" s="21"/>
      <c r="BC133" s="60">
        <f t="shared" si="25"/>
        <v>0</v>
      </c>
      <c r="BJ133" s="60">
        <f t="shared" si="24"/>
        <v>0</v>
      </c>
    </row>
    <row r="134" spans="1:62" s="17" customFormat="1" x14ac:dyDescent="0.3">
      <c r="A134" s="23">
        <v>132</v>
      </c>
      <c r="B134" s="7"/>
      <c r="C134" s="14"/>
      <c r="D134" s="14"/>
      <c r="E134" s="11"/>
      <c r="F134" s="14"/>
      <c r="G134" s="14"/>
      <c r="H134" s="11"/>
      <c r="I134" s="7"/>
      <c r="J134" s="14"/>
      <c r="K134" s="11"/>
      <c r="L134" s="7">
        <v>130</v>
      </c>
      <c r="M134" s="14"/>
      <c r="N134" s="11"/>
      <c r="O134" s="7">
        <v>130</v>
      </c>
      <c r="P134" s="14"/>
      <c r="Q134" s="11"/>
      <c r="R134" s="7">
        <v>130</v>
      </c>
      <c r="S134" s="14"/>
      <c r="T134" s="11"/>
      <c r="U134" s="14"/>
      <c r="V134" s="14"/>
      <c r="W134" s="11"/>
      <c r="X134" s="14"/>
      <c r="Y134" s="14"/>
      <c r="Z134" s="11"/>
      <c r="AA134" s="14"/>
      <c r="AB134" s="14"/>
      <c r="AC134" s="11"/>
      <c r="AD134" s="14"/>
      <c r="AE134" s="14"/>
      <c r="AF134" s="11" t="str">
        <f t="shared" si="26"/>
        <v/>
      </c>
      <c r="AG134" s="14"/>
      <c r="AH134" s="14"/>
      <c r="AI134" s="11" t="str">
        <f t="shared" si="27"/>
        <v/>
      </c>
      <c r="AJ134" s="14"/>
      <c r="AK134" s="11" t="str">
        <f t="shared" si="28"/>
        <v/>
      </c>
      <c r="AL134" s="11" t="str">
        <f t="shared" si="29"/>
        <v/>
      </c>
      <c r="AM134" s="11">
        <f t="shared" si="30"/>
        <v>0</v>
      </c>
      <c r="AN134" s="15" t="str">
        <f t="shared" si="31"/>
        <v/>
      </c>
      <c r="AO134" s="15"/>
      <c r="AP134" s="16"/>
      <c r="AQ134" s="21"/>
      <c r="BC134" s="60">
        <f t="shared" si="25"/>
        <v>0</v>
      </c>
      <c r="BJ134" s="60">
        <f t="shared" si="24"/>
        <v>0</v>
      </c>
    </row>
    <row r="135" spans="1:62" s="17" customFormat="1" x14ac:dyDescent="0.3">
      <c r="A135" s="23">
        <v>133</v>
      </c>
      <c r="B135" s="7"/>
      <c r="C135" s="14"/>
      <c r="D135" s="14"/>
      <c r="E135" s="11"/>
      <c r="F135" s="14"/>
      <c r="G135" s="14"/>
      <c r="H135" s="11"/>
      <c r="I135" s="7"/>
      <c r="J135" s="14"/>
      <c r="K135" s="11"/>
      <c r="L135" s="7">
        <v>131</v>
      </c>
      <c r="M135" s="14"/>
      <c r="N135" s="11"/>
      <c r="O135" s="7">
        <v>131</v>
      </c>
      <c r="P135" s="14"/>
      <c r="Q135" s="11"/>
      <c r="R135" s="7">
        <v>131</v>
      </c>
      <c r="S135" s="14"/>
      <c r="T135" s="11"/>
      <c r="U135" s="14"/>
      <c r="V135" s="14"/>
      <c r="W135" s="11"/>
      <c r="X135" s="14"/>
      <c r="Y135" s="14"/>
      <c r="Z135" s="11"/>
      <c r="AA135" s="14"/>
      <c r="AB135" s="14"/>
      <c r="AC135" s="11"/>
      <c r="AD135" s="14"/>
      <c r="AE135" s="14"/>
      <c r="AF135" s="11" t="str">
        <f t="shared" si="26"/>
        <v/>
      </c>
      <c r="AG135" s="14"/>
      <c r="AH135" s="14"/>
      <c r="AI135" s="11" t="str">
        <f t="shared" si="27"/>
        <v/>
      </c>
      <c r="AJ135" s="14"/>
      <c r="AK135" s="11" t="str">
        <f t="shared" si="28"/>
        <v/>
      </c>
      <c r="AL135" s="11" t="str">
        <f t="shared" si="29"/>
        <v/>
      </c>
      <c r="AM135" s="11">
        <f t="shared" si="30"/>
        <v>0</v>
      </c>
      <c r="AN135" s="15" t="str">
        <f t="shared" si="31"/>
        <v/>
      </c>
      <c r="AO135" s="15"/>
      <c r="AP135" s="16"/>
      <c r="AQ135" s="21"/>
      <c r="BC135" s="60">
        <f t="shared" si="25"/>
        <v>0</v>
      </c>
      <c r="BJ135" s="60">
        <f t="shared" si="24"/>
        <v>0</v>
      </c>
    </row>
    <row r="136" spans="1:62" s="17" customFormat="1" x14ac:dyDescent="0.3">
      <c r="A136" s="23">
        <v>134</v>
      </c>
      <c r="B136" s="7"/>
      <c r="C136" s="14"/>
      <c r="D136" s="14"/>
      <c r="E136" s="11"/>
      <c r="F136" s="14"/>
      <c r="G136" s="14"/>
      <c r="H136" s="11"/>
      <c r="I136" s="7"/>
      <c r="J136" s="14"/>
      <c r="K136" s="11"/>
      <c r="L136" s="7">
        <v>132</v>
      </c>
      <c r="M136" s="14"/>
      <c r="N136" s="11"/>
      <c r="O136" s="7">
        <v>132</v>
      </c>
      <c r="P136" s="14"/>
      <c r="Q136" s="11"/>
      <c r="R136" s="7">
        <v>132</v>
      </c>
      <c r="S136" s="14"/>
      <c r="T136" s="11"/>
      <c r="U136" s="14"/>
      <c r="V136" s="14"/>
      <c r="W136" s="11"/>
      <c r="X136" s="14"/>
      <c r="Y136" s="14"/>
      <c r="Z136" s="11"/>
      <c r="AA136" s="14"/>
      <c r="AB136" s="14"/>
      <c r="AC136" s="11"/>
      <c r="AD136" s="14"/>
      <c r="AE136" s="14"/>
      <c r="AF136" s="11" t="str">
        <f t="shared" si="26"/>
        <v/>
      </c>
      <c r="AG136" s="14"/>
      <c r="AH136" s="14"/>
      <c r="AI136" s="11" t="str">
        <f t="shared" si="27"/>
        <v/>
      </c>
      <c r="AJ136" s="14"/>
      <c r="AK136" s="11" t="str">
        <f t="shared" si="28"/>
        <v/>
      </c>
      <c r="AL136" s="11" t="str">
        <f t="shared" si="29"/>
        <v/>
      </c>
      <c r="AM136" s="11">
        <f t="shared" si="30"/>
        <v>0</v>
      </c>
      <c r="AN136" s="15" t="str">
        <f t="shared" si="31"/>
        <v/>
      </c>
      <c r="AO136" s="15"/>
      <c r="AP136" s="16"/>
      <c r="AQ136" s="21"/>
      <c r="BC136" s="60">
        <f t="shared" si="25"/>
        <v>0</v>
      </c>
      <c r="BJ136" s="60">
        <f t="shared" si="24"/>
        <v>0</v>
      </c>
    </row>
    <row r="137" spans="1:62" s="17" customFormat="1" x14ac:dyDescent="0.3">
      <c r="A137" s="23">
        <v>135</v>
      </c>
      <c r="B137" s="7"/>
      <c r="C137" s="14"/>
      <c r="D137" s="14"/>
      <c r="E137" s="11"/>
      <c r="F137" s="14"/>
      <c r="G137" s="14"/>
      <c r="H137" s="11"/>
      <c r="I137" s="7"/>
      <c r="J137" s="14"/>
      <c r="K137" s="11"/>
      <c r="L137" s="7">
        <v>133</v>
      </c>
      <c r="M137" s="14"/>
      <c r="N137" s="11"/>
      <c r="O137" s="7">
        <v>133</v>
      </c>
      <c r="P137" s="14"/>
      <c r="Q137" s="11"/>
      <c r="R137" s="7">
        <v>133</v>
      </c>
      <c r="S137" s="14"/>
      <c r="T137" s="11"/>
      <c r="U137" s="14"/>
      <c r="V137" s="14"/>
      <c r="W137" s="11"/>
      <c r="X137" s="14"/>
      <c r="Y137" s="14"/>
      <c r="Z137" s="11"/>
      <c r="AA137" s="14"/>
      <c r="AB137" s="14"/>
      <c r="AC137" s="11"/>
      <c r="AD137" s="14"/>
      <c r="AE137" s="14"/>
      <c r="AF137" s="11" t="str">
        <f t="shared" si="26"/>
        <v/>
      </c>
      <c r="AG137" s="14"/>
      <c r="AH137" s="14"/>
      <c r="AI137" s="11" t="str">
        <f t="shared" si="27"/>
        <v/>
      </c>
      <c r="AJ137" s="14"/>
      <c r="AK137" s="11" t="str">
        <f t="shared" si="28"/>
        <v/>
      </c>
      <c r="AL137" s="11" t="str">
        <f t="shared" si="29"/>
        <v/>
      </c>
      <c r="AM137" s="11">
        <f t="shared" si="30"/>
        <v>0</v>
      </c>
      <c r="AN137" s="15" t="str">
        <f t="shared" si="31"/>
        <v/>
      </c>
      <c r="AO137" s="15"/>
      <c r="AP137" s="16"/>
      <c r="AQ137" s="21"/>
      <c r="BC137" s="60">
        <f t="shared" si="25"/>
        <v>0</v>
      </c>
      <c r="BJ137" s="60">
        <f t="shared" si="24"/>
        <v>0</v>
      </c>
    </row>
    <row r="138" spans="1:62" s="17" customFormat="1" x14ac:dyDescent="0.3">
      <c r="A138" s="23">
        <v>136</v>
      </c>
      <c r="B138" s="7"/>
      <c r="C138" s="14"/>
      <c r="D138" s="14"/>
      <c r="E138" s="11"/>
      <c r="F138" s="14"/>
      <c r="G138" s="14"/>
      <c r="H138" s="11"/>
      <c r="I138" s="7"/>
      <c r="J138" s="14"/>
      <c r="K138" s="11"/>
      <c r="L138" s="7">
        <v>134</v>
      </c>
      <c r="M138" s="14"/>
      <c r="N138" s="11"/>
      <c r="O138" s="7">
        <v>134</v>
      </c>
      <c r="P138" s="14"/>
      <c r="Q138" s="11"/>
      <c r="R138" s="7">
        <v>134</v>
      </c>
      <c r="S138" s="14"/>
      <c r="T138" s="11"/>
      <c r="U138" s="14"/>
      <c r="V138" s="14"/>
      <c r="W138" s="11"/>
      <c r="X138" s="14"/>
      <c r="Y138" s="14"/>
      <c r="Z138" s="11"/>
      <c r="AA138" s="14"/>
      <c r="AB138" s="14"/>
      <c r="AC138" s="11"/>
      <c r="AD138" s="14"/>
      <c r="AE138" s="14"/>
      <c r="AF138" s="11" t="str">
        <f t="shared" si="26"/>
        <v/>
      </c>
      <c r="AG138" s="14"/>
      <c r="AH138" s="14"/>
      <c r="AI138" s="11" t="str">
        <f t="shared" si="27"/>
        <v/>
      </c>
      <c r="AJ138" s="14"/>
      <c r="AK138" s="11" t="str">
        <f t="shared" si="28"/>
        <v/>
      </c>
      <c r="AL138" s="11" t="str">
        <f t="shared" si="29"/>
        <v/>
      </c>
      <c r="AM138" s="11">
        <f t="shared" si="30"/>
        <v>0</v>
      </c>
      <c r="AN138" s="15" t="str">
        <f t="shared" si="31"/>
        <v/>
      </c>
      <c r="AO138" s="15"/>
      <c r="AP138" s="16"/>
      <c r="AQ138" s="21"/>
      <c r="BC138" s="60">
        <f t="shared" si="25"/>
        <v>0</v>
      </c>
      <c r="BJ138" s="60">
        <f t="shared" ref="BJ138:BJ201" si="32">BH138-BG138</f>
        <v>0</v>
      </c>
    </row>
    <row r="139" spans="1:62" s="17" customFormat="1" x14ac:dyDescent="0.3">
      <c r="A139" s="23">
        <v>137</v>
      </c>
      <c r="B139" s="7"/>
      <c r="C139" s="14"/>
      <c r="D139" s="14"/>
      <c r="E139" s="11"/>
      <c r="F139" s="14"/>
      <c r="G139" s="14"/>
      <c r="H139" s="11"/>
      <c r="I139" s="7"/>
      <c r="J139" s="14"/>
      <c r="K139" s="11"/>
      <c r="L139" s="7">
        <v>135</v>
      </c>
      <c r="M139" s="14"/>
      <c r="N139" s="11"/>
      <c r="O139" s="7">
        <v>135</v>
      </c>
      <c r="P139" s="14"/>
      <c r="Q139" s="11"/>
      <c r="R139" s="7">
        <v>135</v>
      </c>
      <c r="S139" s="14"/>
      <c r="T139" s="11"/>
      <c r="U139" s="14"/>
      <c r="V139" s="14"/>
      <c r="W139" s="11"/>
      <c r="X139" s="14"/>
      <c r="Y139" s="14"/>
      <c r="Z139" s="11"/>
      <c r="AA139" s="14"/>
      <c r="AB139" s="14"/>
      <c r="AC139" s="11"/>
      <c r="AD139" s="14"/>
      <c r="AE139" s="14"/>
      <c r="AF139" s="11" t="str">
        <f t="shared" si="26"/>
        <v/>
      </c>
      <c r="AG139" s="14"/>
      <c r="AH139" s="14"/>
      <c r="AI139" s="11" t="str">
        <f t="shared" si="27"/>
        <v/>
      </c>
      <c r="AJ139" s="14"/>
      <c r="AK139" s="11" t="str">
        <f t="shared" si="28"/>
        <v/>
      </c>
      <c r="AL139" s="11" t="str">
        <f t="shared" si="29"/>
        <v/>
      </c>
      <c r="AM139" s="11">
        <f t="shared" si="30"/>
        <v>0</v>
      </c>
      <c r="AN139" s="15" t="str">
        <f t="shared" si="31"/>
        <v/>
      </c>
      <c r="AO139" s="15"/>
      <c r="AP139" s="16"/>
      <c r="AQ139" s="21"/>
      <c r="BC139" s="60">
        <f t="shared" si="25"/>
        <v>0</v>
      </c>
      <c r="BJ139" s="60">
        <f t="shared" si="32"/>
        <v>0</v>
      </c>
    </row>
    <row r="140" spans="1:62" s="17" customFormat="1" x14ac:dyDescent="0.3">
      <c r="A140" s="23">
        <v>138</v>
      </c>
      <c r="B140" s="7"/>
      <c r="C140" s="14"/>
      <c r="D140" s="14"/>
      <c r="E140" s="11"/>
      <c r="F140" s="14"/>
      <c r="G140" s="14"/>
      <c r="H140" s="11"/>
      <c r="I140" s="7"/>
      <c r="J140" s="14"/>
      <c r="K140" s="11"/>
      <c r="L140" s="7">
        <v>136</v>
      </c>
      <c r="M140" s="14"/>
      <c r="N140" s="11"/>
      <c r="O140" s="7">
        <v>136</v>
      </c>
      <c r="P140" s="14"/>
      <c r="Q140" s="11"/>
      <c r="R140" s="7">
        <v>136</v>
      </c>
      <c r="S140" s="14"/>
      <c r="T140" s="11"/>
      <c r="U140" s="14"/>
      <c r="V140" s="14"/>
      <c r="W140" s="11"/>
      <c r="X140" s="14"/>
      <c r="Y140" s="14"/>
      <c r="Z140" s="11"/>
      <c r="AA140" s="14"/>
      <c r="AB140" s="14"/>
      <c r="AC140" s="11"/>
      <c r="AD140" s="14"/>
      <c r="AE140" s="14"/>
      <c r="AF140" s="11" t="str">
        <f t="shared" si="26"/>
        <v/>
      </c>
      <c r="AG140" s="14"/>
      <c r="AH140" s="14"/>
      <c r="AI140" s="11" t="str">
        <f t="shared" si="27"/>
        <v/>
      </c>
      <c r="AJ140" s="14"/>
      <c r="AK140" s="11" t="str">
        <f t="shared" si="28"/>
        <v/>
      </c>
      <c r="AL140" s="11" t="str">
        <f t="shared" si="29"/>
        <v/>
      </c>
      <c r="AM140" s="11">
        <f t="shared" si="30"/>
        <v>0</v>
      </c>
      <c r="AN140" s="15" t="str">
        <f t="shared" si="31"/>
        <v/>
      </c>
      <c r="AO140" s="15"/>
      <c r="AP140" s="16"/>
      <c r="AQ140" s="21"/>
      <c r="BC140" s="60">
        <f t="shared" si="25"/>
        <v>0</v>
      </c>
      <c r="BJ140" s="60">
        <f t="shared" si="32"/>
        <v>0</v>
      </c>
    </row>
    <row r="141" spans="1:62" s="17" customFormat="1" x14ac:dyDescent="0.3">
      <c r="A141" s="23">
        <v>139</v>
      </c>
      <c r="B141" s="7"/>
      <c r="C141" s="14"/>
      <c r="D141" s="14"/>
      <c r="E141" s="11"/>
      <c r="F141" s="14"/>
      <c r="G141" s="14"/>
      <c r="H141" s="11"/>
      <c r="I141" s="7"/>
      <c r="J141" s="14"/>
      <c r="K141" s="11"/>
      <c r="L141" s="7">
        <v>137</v>
      </c>
      <c r="M141" s="14"/>
      <c r="N141" s="11"/>
      <c r="O141" s="7">
        <v>137</v>
      </c>
      <c r="P141" s="14"/>
      <c r="Q141" s="11"/>
      <c r="R141" s="7">
        <v>137</v>
      </c>
      <c r="S141" s="14"/>
      <c r="T141" s="11"/>
      <c r="U141" s="14"/>
      <c r="V141" s="14"/>
      <c r="W141" s="11"/>
      <c r="X141" s="14"/>
      <c r="Y141" s="14"/>
      <c r="Z141" s="11"/>
      <c r="AA141" s="14"/>
      <c r="AB141" s="14"/>
      <c r="AC141" s="11"/>
      <c r="AD141" s="14"/>
      <c r="AE141" s="14"/>
      <c r="AF141" s="11" t="str">
        <f t="shared" si="26"/>
        <v/>
      </c>
      <c r="AG141" s="14"/>
      <c r="AH141" s="14"/>
      <c r="AI141" s="11" t="str">
        <f t="shared" si="27"/>
        <v/>
      </c>
      <c r="AJ141" s="14"/>
      <c r="AK141" s="11" t="str">
        <f t="shared" si="28"/>
        <v/>
      </c>
      <c r="AL141" s="11" t="str">
        <f t="shared" si="29"/>
        <v/>
      </c>
      <c r="AM141" s="11">
        <f t="shared" si="30"/>
        <v>0</v>
      </c>
      <c r="AN141" s="15" t="str">
        <f t="shared" si="31"/>
        <v/>
      </c>
      <c r="AO141" s="15"/>
      <c r="AP141" s="16"/>
      <c r="AQ141" s="21"/>
      <c r="BC141" s="60">
        <f t="shared" si="25"/>
        <v>0</v>
      </c>
      <c r="BJ141" s="60">
        <f t="shared" si="32"/>
        <v>0</v>
      </c>
    </row>
    <row r="142" spans="1:62" s="17" customFormat="1" x14ac:dyDescent="0.3">
      <c r="A142" s="23">
        <v>140</v>
      </c>
      <c r="B142" s="7"/>
      <c r="C142" s="14"/>
      <c r="D142" s="14"/>
      <c r="E142" s="11"/>
      <c r="F142" s="14"/>
      <c r="G142" s="14"/>
      <c r="H142" s="11"/>
      <c r="I142" s="7"/>
      <c r="J142" s="14"/>
      <c r="K142" s="11"/>
      <c r="L142" s="7">
        <v>138</v>
      </c>
      <c r="M142" s="14"/>
      <c r="N142" s="11"/>
      <c r="O142" s="7">
        <v>138</v>
      </c>
      <c r="P142" s="14"/>
      <c r="Q142" s="11"/>
      <c r="R142" s="7">
        <v>138</v>
      </c>
      <c r="S142" s="14"/>
      <c r="T142" s="11"/>
      <c r="U142" s="14"/>
      <c r="V142" s="14"/>
      <c r="W142" s="11"/>
      <c r="X142" s="14"/>
      <c r="Y142" s="14"/>
      <c r="Z142" s="11"/>
      <c r="AA142" s="14"/>
      <c r="AB142" s="14"/>
      <c r="AC142" s="11"/>
      <c r="AD142" s="14"/>
      <c r="AE142" s="14"/>
      <c r="AF142" s="11" t="str">
        <f t="shared" si="26"/>
        <v/>
      </c>
      <c r="AG142" s="14"/>
      <c r="AH142" s="14"/>
      <c r="AI142" s="11" t="str">
        <f t="shared" si="27"/>
        <v/>
      </c>
      <c r="AJ142" s="14"/>
      <c r="AK142" s="11" t="str">
        <f t="shared" si="28"/>
        <v/>
      </c>
      <c r="AL142" s="11" t="str">
        <f t="shared" si="29"/>
        <v/>
      </c>
      <c r="AM142" s="11">
        <f t="shared" si="30"/>
        <v>0</v>
      </c>
      <c r="AN142" s="15" t="str">
        <f t="shared" si="31"/>
        <v/>
      </c>
      <c r="AO142" s="15"/>
      <c r="AP142" s="16"/>
      <c r="AQ142" s="21"/>
      <c r="BC142" s="60">
        <f t="shared" si="25"/>
        <v>0</v>
      </c>
      <c r="BJ142" s="60">
        <f t="shared" si="32"/>
        <v>0</v>
      </c>
    </row>
    <row r="143" spans="1:62" s="17" customFormat="1" x14ac:dyDescent="0.3">
      <c r="A143" s="23">
        <v>141</v>
      </c>
      <c r="B143" s="7"/>
      <c r="C143" s="14"/>
      <c r="D143" s="14"/>
      <c r="E143" s="11"/>
      <c r="F143" s="14"/>
      <c r="G143" s="14"/>
      <c r="H143" s="11"/>
      <c r="I143" s="7"/>
      <c r="J143" s="14"/>
      <c r="K143" s="11"/>
      <c r="L143" s="7">
        <v>139</v>
      </c>
      <c r="M143" s="14"/>
      <c r="N143" s="11"/>
      <c r="O143" s="7">
        <v>139</v>
      </c>
      <c r="P143" s="14"/>
      <c r="Q143" s="11"/>
      <c r="R143" s="7">
        <v>139</v>
      </c>
      <c r="S143" s="14"/>
      <c r="T143" s="11"/>
      <c r="U143" s="14"/>
      <c r="V143" s="14"/>
      <c r="W143" s="11"/>
      <c r="X143" s="14"/>
      <c r="Y143" s="14"/>
      <c r="Z143" s="11"/>
      <c r="AA143" s="14"/>
      <c r="AB143" s="14"/>
      <c r="AC143" s="11"/>
      <c r="AD143" s="14"/>
      <c r="AE143" s="14"/>
      <c r="AF143" s="11" t="str">
        <f t="shared" si="26"/>
        <v/>
      </c>
      <c r="AG143" s="14"/>
      <c r="AH143" s="14"/>
      <c r="AI143" s="11" t="str">
        <f t="shared" si="27"/>
        <v/>
      </c>
      <c r="AJ143" s="14"/>
      <c r="AK143" s="11" t="str">
        <f t="shared" si="28"/>
        <v/>
      </c>
      <c r="AL143" s="11" t="str">
        <f t="shared" si="29"/>
        <v/>
      </c>
      <c r="AM143" s="11">
        <f t="shared" si="30"/>
        <v>0</v>
      </c>
      <c r="AN143" s="15" t="str">
        <f t="shared" si="31"/>
        <v/>
      </c>
      <c r="AO143" s="15"/>
      <c r="AP143" s="16"/>
      <c r="AQ143" s="21"/>
      <c r="BC143" s="60">
        <f t="shared" si="25"/>
        <v>0</v>
      </c>
      <c r="BJ143" s="60">
        <f t="shared" si="32"/>
        <v>0</v>
      </c>
    </row>
    <row r="144" spans="1:62" s="17" customFormat="1" x14ac:dyDescent="0.3">
      <c r="A144" s="23">
        <v>142</v>
      </c>
      <c r="B144" s="7"/>
      <c r="C144" s="14"/>
      <c r="D144" s="14"/>
      <c r="E144" s="11"/>
      <c r="F144" s="14"/>
      <c r="G144" s="14"/>
      <c r="H144" s="11"/>
      <c r="I144" s="7"/>
      <c r="J144" s="14"/>
      <c r="K144" s="11"/>
      <c r="L144" s="7">
        <v>140</v>
      </c>
      <c r="M144" s="14"/>
      <c r="N144" s="11"/>
      <c r="O144" s="7">
        <v>140</v>
      </c>
      <c r="P144" s="14"/>
      <c r="Q144" s="11"/>
      <c r="R144" s="7">
        <v>140</v>
      </c>
      <c r="S144" s="14"/>
      <c r="T144" s="11"/>
      <c r="U144" s="14"/>
      <c r="V144" s="14"/>
      <c r="W144" s="11"/>
      <c r="X144" s="14"/>
      <c r="Y144" s="14"/>
      <c r="Z144" s="11"/>
      <c r="AA144" s="14"/>
      <c r="AB144" s="14"/>
      <c r="AC144" s="11"/>
      <c r="AD144" s="14"/>
      <c r="AE144" s="14"/>
      <c r="AF144" s="11" t="str">
        <f t="shared" si="26"/>
        <v/>
      </c>
      <c r="AG144" s="14"/>
      <c r="AH144" s="14"/>
      <c r="AI144" s="11" t="str">
        <f t="shared" si="27"/>
        <v/>
      </c>
      <c r="AJ144" s="14"/>
      <c r="AK144" s="11" t="str">
        <f t="shared" si="28"/>
        <v/>
      </c>
      <c r="AL144" s="11" t="str">
        <f t="shared" si="29"/>
        <v/>
      </c>
      <c r="AM144" s="11">
        <f t="shared" si="30"/>
        <v>0</v>
      </c>
      <c r="AN144" s="15" t="str">
        <f t="shared" si="31"/>
        <v/>
      </c>
      <c r="AO144" s="15"/>
      <c r="AP144" s="16"/>
      <c r="AQ144" s="21"/>
      <c r="BC144" s="60">
        <f t="shared" si="25"/>
        <v>0</v>
      </c>
      <c r="BJ144" s="60">
        <f t="shared" si="32"/>
        <v>0</v>
      </c>
    </row>
    <row r="145" spans="1:62" s="17" customFormat="1" x14ac:dyDescent="0.3">
      <c r="A145" s="23">
        <v>143</v>
      </c>
      <c r="B145" s="7"/>
      <c r="C145" s="14"/>
      <c r="D145" s="14"/>
      <c r="E145" s="11"/>
      <c r="F145" s="14"/>
      <c r="G145" s="14"/>
      <c r="H145" s="11"/>
      <c r="I145" s="7"/>
      <c r="J145" s="14"/>
      <c r="K145" s="11"/>
      <c r="L145" s="7">
        <v>141</v>
      </c>
      <c r="M145" s="14"/>
      <c r="N145" s="11"/>
      <c r="O145" s="7">
        <v>141</v>
      </c>
      <c r="P145" s="14"/>
      <c r="Q145" s="11"/>
      <c r="R145" s="7">
        <v>141</v>
      </c>
      <c r="S145" s="14"/>
      <c r="T145" s="11"/>
      <c r="U145" s="14"/>
      <c r="V145" s="14"/>
      <c r="W145" s="11"/>
      <c r="X145" s="14"/>
      <c r="Y145" s="14"/>
      <c r="Z145" s="11"/>
      <c r="AA145" s="14"/>
      <c r="AB145" s="14"/>
      <c r="AC145" s="11"/>
      <c r="AD145" s="14"/>
      <c r="AE145" s="14"/>
      <c r="AF145" s="11" t="str">
        <f t="shared" si="26"/>
        <v/>
      </c>
      <c r="AG145" s="14"/>
      <c r="AH145" s="14"/>
      <c r="AI145" s="11" t="str">
        <f t="shared" si="27"/>
        <v/>
      </c>
      <c r="AJ145" s="14"/>
      <c r="AK145" s="11" t="str">
        <f t="shared" si="28"/>
        <v/>
      </c>
      <c r="AL145" s="11" t="str">
        <f t="shared" si="29"/>
        <v/>
      </c>
      <c r="AM145" s="11">
        <f t="shared" si="30"/>
        <v>0</v>
      </c>
      <c r="AN145" s="15" t="str">
        <f t="shared" si="31"/>
        <v/>
      </c>
      <c r="AO145" s="15"/>
      <c r="AP145" s="16"/>
      <c r="AQ145" s="21"/>
      <c r="BC145" s="60">
        <f t="shared" si="25"/>
        <v>0</v>
      </c>
      <c r="BJ145" s="60">
        <f t="shared" si="32"/>
        <v>0</v>
      </c>
    </row>
    <row r="146" spans="1:62" s="17" customFormat="1" x14ac:dyDescent="0.3">
      <c r="A146" s="23">
        <v>144</v>
      </c>
      <c r="B146" s="7"/>
      <c r="C146" s="14"/>
      <c r="D146" s="14"/>
      <c r="E146" s="11"/>
      <c r="F146" s="14"/>
      <c r="G146" s="14"/>
      <c r="H146" s="11"/>
      <c r="I146" s="7"/>
      <c r="J146" s="14"/>
      <c r="K146" s="11"/>
      <c r="L146" s="7">
        <v>142</v>
      </c>
      <c r="M146" s="14"/>
      <c r="N146" s="11"/>
      <c r="O146" s="7">
        <v>142</v>
      </c>
      <c r="P146" s="14"/>
      <c r="Q146" s="11"/>
      <c r="R146" s="7">
        <v>142</v>
      </c>
      <c r="S146" s="14"/>
      <c r="T146" s="11"/>
      <c r="U146" s="14"/>
      <c r="V146" s="14"/>
      <c r="W146" s="11"/>
      <c r="X146" s="14"/>
      <c r="Y146" s="14"/>
      <c r="Z146" s="11"/>
      <c r="AA146" s="14"/>
      <c r="AB146" s="14"/>
      <c r="AC146" s="11"/>
      <c r="AD146" s="14"/>
      <c r="AE146" s="14"/>
      <c r="AF146" s="11" t="str">
        <f t="shared" si="26"/>
        <v/>
      </c>
      <c r="AG146" s="14"/>
      <c r="AH146" s="14"/>
      <c r="AI146" s="11" t="str">
        <f t="shared" si="27"/>
        <v/>
      </c>
      <c r="AJ146" s="14"/>
      <c r="AK146" s="11" t="str">
        <f t="shared" si="28"/>
        <v/>
      </c>
      <c r="AL146" s="11" t="str">
        <f t="shared" si="29"/>
        <v/>
      </c>
      <c r="AM146" s="11">
        <f t="shared" si="30"/>
        <v>0</v>
      </c>
      <c r="AN146" s="15" t="str">
        <f t="shared" si="31"/>
        <v/>
      </c>
      <c r="AO146" s="15"/>
      <c r="AP146" s="16"/>
      <c r="AQ146" s="21"/>
      <c r="BC146" s="60">
        <f t="shared" si="25"/>
        <v>0</v>
      </c>
      <c r="BJ146" s="60">
        <f t="shared" si="32"/>
        <v>0</v>
      </c>
    </row>
    <row r="147" spans="1:62" s="17" customFormat="1" x14ac:dyDescent="0.3">
      <c r="A147" s="23">
        <v>145</v>
      </c>
      <c r="B147" s="7"/>
      <c r="C147" s="14"/>
      <c r="D147" s="14"/>
      <c r="E147" s="11"/>
      <c r="F147" s="14"/>
      <c r="G147" s="14"/>
      <c r="H147" s="11"/>
      <c r="I147" s="7"/>
      <c r="J147" s="14"/>
      <c r="K147" s="11"/>
      <c r="L147" s="7">
        <v>143</v>
      </c>
      <c r="M147" s="14"/>
      <c r="N147" s="11"/>
      <c r="O147" s="7">
        <v>143</v>
      </c>
      <c r="P147" s="14"/>
      <c r="Q147" s="11"/>
      <c r="R147" s="7">
        <v>143</v>
      </c>
      <c r="S147" s="14"/>
      <c r="T147" s="11"/>
      <c r="U147" s="14"/>
      <c r="V147" s="14"/>
      <c r="W147" s="11"/>
      <c r="X147" s="14"/>
      <c r="Y147" s="14"/>
      <c r="Z147" s="11"/>
      <c r="AA147" s="14"/>
      <c r="AB147" s="14"/>
      <c r="AC147" s="11"/>
      <c r="AD147" s="14"/>
      <c r="AE147" s="14"/>
      <c r="AF147" s="11" t="str">
        <f t="shared" si="26"/>
        <v/>
      </c>
      <c r="AG147" s="14"/>
      <c r="AH147" s="14"/>
      <c r="AI147" s="11" t="str">
        <f t="shared" si="27"/>
        <v/>
      </c>
      <c r="AJ147" s="14"/>
      <c r="AK147" s="11" t="str">
        <f t="shared" si="28"/>
        <v/>
      </c>
      <c r="AL147" s="11" t="str">
        <f t="shared" si="29"/>
        <v/>
      </c>
      <c r="AM147" s="11">
        <f t="shared" si="30"/>
        <v>0</v>
      </c>
      <c r="AN147" s="15" t="str">
        <f t="shared" si="31"/>
        <v/>
      </c>
      <c r="AO147" s="15"/>
      <c r="AP147" s="16"/>
      <c r="AQ147" s="21"/>
      <c r="BC147" s="60">
        <f t="shared" si="25"/>
        <v>0</v>
      </c>
      <c r="BJ147" s="60">
        <f t="shared" si="32"/>
        <v>0</v>
      </c>
    </row>
    <row r="148" spans="1:62" s="17" customFormat="1" x14ac:dyDescent="0.3">
      <c r="A148" s="23">
        <v>146</v>
      </c>
      <c r="B148" s="7"/>
      <c r="C148" s="14"/>
      <c r="D148" s="14"/>
      <c r="E148" s="11"/>
      <c r="F148" s="14"/>
      <c r="G148" s="14"/>
      <c r="H148" s="11"/>
      <c r="I148" s="7"/>
      <c r="J148" s="14"/>
      <c r="K148" s="11"/>
      <c r="L148" s="7">
        <v>144</v>
      </c>
      <c r="M148" s="14"/>
      <c r="N148" s="11"/>
      <c r="O148" s="7">
        <v>144</v>
      </c>
      <c r="P148" s="14"/>
      <c r="Q148" s="11"/>
      <c r="R148" s="7">
        <v>144</v>
      </c>
      <c r="S148" s="14"/>
      <c r="T148" s="11"/>
      <c r="U148" s="14"/>
      <c r="V148" s="14"/>
      <c r="W148" s="11"/>
      <c r="X148" s="14"/>
      <c r="Y148" s="14"/>
      <c r="Z148" s="11"/>
      <c r="AA148" s="14"/>
      <c r="AB148" s="14"/>
      <c r="AC148" s="11"/>
      <c r="AD148" s="14"/>
      <c r="AE148" s="14"/>
      <c r="AF148" s="11" t="str">
        <f t="shared" si="26"/>
        <v/>
      </c>
      <c r="AG148" s="14"/>
      <c r="AH148" s="14"/>
      <c r="AI148" s="11" t="str">
        <f t="shared" si="27"/>
        <v/>
      </c>
      <c r="AJ148" s="14"/>
      <c r="AK148" s="11" t="str">
        <f t="shared" si="28"/>
        <v/>
      </c>
      <c r="AL148" s="11" t="str">
        <f t="shared" si="29"/>
        <v/>
      </c>
      <c r="AM148" s="11">
        <f t="shared" si="30"/>
        <v>0</v>
      </c>
      <c r="AN148" s="15" t="str">
        <f t="shared" si="31"/>
        <v/>
      </c>
      <c r="AO148" s="15"/>
      <c r="AP148" s="16"/>
      <c r="AQ148" s="21"/>
      <c r="BC148" s="60">
        <f t="shared" si="25"/>
        <v>0</v>
      </c>
      <c r="BJ148" s="60">
        <f t="shared" si="32"/>
        <v>0</v>
      </c>
    </row>
    <row r="149" spans="1:62" s="17" customFormat="1" x14ac:dyDescent="0.3">
      <c r="A149" s="23">
        <v>147</v>
      </c>
      <c r="B149" s="7"/>
      <c r="C149" s="14"/>
      <c r="D149" s="14"/>
      <c r="E149" s="11"/>
      <c r="F149" s="14"/>
      <c r="G149" s="14"/>
      <c r="H149" s="11"/>
      <c r="I149" s="7"/>
      <c r="J149" s="14"/>
      <c r="K149" s="11"/>
      <c r="L149" s="7">
        <v>145</v>
      </c>
      <c r="M149" s="14"/>
      <c r="N149" s="11"/>
      <c r="O149" s="7">
        <v>145</v>
      </c>
      <c r="P149" s="14"/>
      <c r="Q149" s="11"/>
      <c r="R149" s="7">
        <v>145</v>
      </c>
      <c r="S149" s="14"/>
      <c r="T149" s="11"/>
      <c r="U149" s="14"/>
      <c r="V149" s="14"/>
      <c r="W149" s="11"/>
      <c r="X149" s="14"/>
      <c r="Y149" s="14"/>
      <c r="Z149" s="11"/>
      <c r="AA149" s="14"/>
      <c r="AB149" s="14"/>
      <c r="AC149" s="11"/>
      <c r="AD149" s="14"/>
      <c r="AE149" s="14"/>
      <c r="AF149" s="11" t="str">
        <f t="shared" si="26"/>
        <v/>
      </c>
      <c r="AG149" s="14"/>
      <c r="AH149" s="14"/>
      <c r="AI149" s="11" t="str">
        <f t="shared" si="27"/>
        <v/>
      </c>
      <c r="AJ149" s="14"/>
      <c r="AK149" s="11" t="str">
        <f t="shared" si="28"/>
        <v/>
      </c>
      <c r="AL149" s="11" t="str">
        <f t="shared" si="29"/>
        <v/>
      </c>
      <c r="AM149" s="11">
        <f t="shared" si="30"/>
        <v>0</v>
      </c>
      <c r="AN149" s="15" t="str">
        <f t="shared" si="31"/>
        <v/>
      </c>
      <c r="AO149" s="15"/>
      <c r="AP149" s="16"/>
      <c r="AQ149" s="21"/>
      <c r="BC149" s="60">
        <f t="shared" si="25"/>
        <v>0</v>
      </c>
      <c r="BJ149" s="60">
        <f t="shared" si="32"/>
        <v>0</v>
      </c>
    </row>
    <row r="150" spans="1:62" s="17" customFormat="1" x14ac:dyDescent="0.3">
      <c r="A150" s="23">
        <v>148</v>
      </c>
      <c r="B150" s="7"/>
      <c r="C150" s="14"/>
      <c r="D150" s="14"/>
      <c r="E150" s="11"/>
      <c r="F150" s="14"/>
      <c r="G150" s="14"/>
      <c r="H150" s="11"/>
      <c r="I150" s="7"/>
      <c r="J150" s="14"/>
      <c r="K150" s="11"/>
      <c r="L150" s="7">
        <v>146</v>
      </c>
      <c r="M150" s="14"/>
      <c r="N150" s="11"/>
      <c r="O150" s="7">
        <v>146</v>
      </c>
      <c r="P150" s="14"/>
      <c r="Q150" s="11"/>
      <c r="R150" s="7">
        <v>146</v>
      </c>
      <c r="S150" s="14"/>
      <c r="T150" s="11"/>
      <c r="U150" s="14"/>
      <c r="V150" s="14"/>
      <c r="W150" s="11"/>
      <c r="X150" s="14"/>
      <c r="Y150" s="14"/>
      <c r="Z150" s="11"/>
      <c r="AA150" s="14"/>
      <c r="AB150" s="14"/>
      <c r="AC150" s="11"/>
      <c r="AD150" s="14"/>
      <c r="AE150" s="14"/>
      <c r="AF150" s="11" t="str">
        <f t="shared" si="26"/>
        <v/>
      </c>
      <c r="AG150" s="14"/>
      <c r="AH150" s="14"/>
      <c r="AI150" s="11" t="str">
        <f t="shared" si="27"/>
        <v/>
      </c>
      <c r="AJ150" s="14"/>
      <c r="AK150" s="11" t="str">
        <f t="shared" si="28"/>
        <v/>
      </c>
      <c r="AL150" s="11" t="str">
        <f t="shared" si="29"/>
        <v/>
      </c>
      <c r="AM150" s="11">
        <f t="shared" si="30"/>
        <v>0</v>
      </c>
      <c r="AN150" s="15" t="str">
        <f t="shared" si="31"/>
        <v/>
      </c>
      <c r="AO150" s="15"/>
      <c r="AP150" s="16"/>
      <c r="AQ150" s="21"/>
      <c r="BC150" s="60">
        <f t="shared" si="25"/>
        <v>0</v>
      </c>
      <c r="BJ150" s="60">
        <f t="shared" si="32"/>
        <v>0</v>
      </c>
    </row>
    <row r="151" spans="1:62" s="17" customFormat="1" x14ac:dyDescent="0.3">
      <c r="A151" s="23">
        <v>149</v>
      </c>
      <c r="B151" s="7"/>
      <c r="C151" s="14"/>
      <c r="D151" s="14"/>
      <c r="E151" s="11"/>
      <c r="F151" s="14"/>
      <c r="G151" s="14"/>
      <c r="H151" s="11"/>
      <c r="I151" s="7"/>
      <c r="J151" s="14"/>
      <c r="K151" s="11"/>
      <c r="L151" s="7">
        <v>147</v>
      </c>
      <c r="M151" s="14"/>
      <c r="N151" s="11"/>
      <c r="O151" s="7">
        <v>147</v>
      </c>
      <c r="P151" s="14"/>
      <c r="Q151" s="11"/>
      <c r="R151" s="7">
        <v>147</v>
      </c>
      <c r="S151" s="14"/>
      <c r="T151" s="11"/>
      <c r="U151" s="14"/>
      <c r="V151" s="14"/>
      <c r="W151" s="11"/>
      <c r="X151" s="14"/>
      <c r="Y151" s="14"/>
      <c r="Z151" s="11"/>
      <c r="AA151" s="14"/>
      <c r="AB151" s="14"/>
      <c r="AC151" s="11"/>
      <c r="AD151" s="14"/>
      <c r="AE151" s="14"/>
      <c r="AF151" s="11" t="str">
        <f t="shared" si="26"/>
        <v/>
      </c>
      <c r="AG151" s="14"/>
      <c r="AH151" s="14"/>
      <c r="AI151" s="11" t="str">
        <f t="shared" si="27"/>
        <v/>
      </c>
      <c r="AJ151" s="14"/>
      <c r="AK151" s="11" t="str">
        <f t="shared" si="28"/>
        <v/>
      </c>
      <c r="AL151" s="11" t="str">
        <f t="shared" si="29"/>
        <v/>
      </c>
      <c r="AM151" s="11">
        <f t="shared" si="30"/>
        <v>0</v>
      </c>
      <c r="AN151" s="15" t="str">
        <f t="shared" si="31"/>
        <v/>
      </c>
      <c r="AO151" s="15"/>
      <c r="AP151" s="16"/>
      <c r="AQ151" s="21"/>
      <c r="BC151" s="60">
        <f t="shared" si="25"/>
        <v>0</v>
      </c>
      <c r="BJ151" s="60">
        <f t="shared" si="32"/>
        <v>0</v>
      </c>
    </row>
    <row r="152" spans="1:62" s="17" customFormat="1" x14ac:dyDescent="0.3">
      <c r="A152" s="23">
        <v>150</v>
      </c>
      <c r="B152" s="7"/>
      <c r="C152" s="14"/>
      <c r="D152" s="14"/>
      <c r="E152" s="11"/>
      <c r="F152" s="14"/>
      <c r="G152" s="14"/>
      <c r="H152" s="11"/>
      <c r="I152" s="7"/>
      <c r="J152" s="14"/>
      <c r="K152" s="11"/>
      <c r="L152" s="7">
        <v>148</v>
      </c>
      <c r="M152" s="14"/>
      <c r="N152" s="11"/>
      <c r="O152" s="7">
        <v>148</v>
      </c>
      <c r="P152" s="14"/>
      <c r="Q152" s="11"/>
      <c r="R152" s="7">
        <v>148</v>
      </c>
      <c r="S152" s="14"/>
      <c r="T152" s="11"/>
      <c r="U152" s="14"/>
      <c r="V152" s="14"/>
      <c r="W152" s="11"/>
      <c r="X152" s="14"/>
      <c r="Y152" s="14"/>
      <c r="Z152" s="11"/>
      <c r="AA152" s="14"/>
      <c r="AB152" s="14"/>
      <c r="AC152" s="11"/>
      <c r="AD152" s="14"/>
      <c r="AE152" s="14"/>
      <c r="AF152" s="11" t="str">
        <f t="shared" si="26"/>
        <v/>
      </c>
      <c r="AG152" s="14"/>
      <c r="AH152" s="14"/>
      <c r="AI152" s="11" t="str">
        <f t="shared" si="27"/>
        <v/>
      </c>
      <c r="AJ152" s="14"/>
      <c r="AK152" s="11" t="str">
        <f t="shared" si="28"/>
        <v/>
      </c>
      <c r="AL152" s="11" t="str">
        <f t="shared" si="29"/>
        <v/>
      </c>
      <c r="AM152" s="11">
        <f t="shared" si="30"/>
        <v>0</v>
      </c>
      <c r="AN152" s="15" t="str">
        <f t="shared" si="31"/>
        <v/>
      </c>
      <c r="AO152" s="15"/>
      <c r="AP152" s="16"/>
      <c r="AQ152" s="21"/>
      <c r="BC152" s="60">
        <f t="shared" si="25"/>
        <v>0</v>
      </c>
      <c r="BJ152" s="60">
        <f t="shared" si="32"/>
        <v>0</v>
      </c>
    </row>
    <row r="153" spans="1:62" s="17" customFormat="1" x14ac:dyDescent="0.3">
      <c r="A153" s="23">
        <v>151</v>
      </c>
      <c r="B153" s="7"/>
      <c r="C153" s="14"/>
      <c r="D153" s="14"/>
      <c r="E153" s="11"/>
      <c r="F153" s="14"/>
      <c r="G153" s="14"/>
      <c r="H153" s="11"/>
      <c r="I153" s="7"/>
      <c r="J153" s="14"/>
      <c r="K153" s="11"/>
      <c r="L153" s="7">
        <v>149</v>
      </c>
      <c r="M153" s="14"/>
      <c r="N153" s="11"/>
      <c r="O153" s="7">
        <v>149</v>
      </c>
      <c r="P153" s="14"/>
      <c r="Q153" s="11"/>
      <c r="R153" s="7">
        <v>149</v>
      </c>
      <c r="S153" s="14"/>
      <c r="T153" s="11"/>
      <c r="U153" s="14"/>
      <c r="V153" s="14"/>
      <c r="W153" s="11"/>
      <c r="X153" s="14"/>
      <c r="Y153" s="14"/>
      <c r="Z153" s="11"/>
      <c r="AA153" s="14"/>
      <c r="AB153" s="14"/>
      <c r="AC153" s="11"/>
      <c r="AD153" s="14"/>
      <c r="AE153" s="14"/>
      <c r="AF153" s="11" t="str">
        <f t="shared" si="26"/>
        <v/>
      </c>
      <c r="AG153" s="14"/>
      <c r="AH153" s="14"/>
      <c r="AI153" s="11" t="str">
        <f t="shared" si="27"/>
        <v/>
      </c>
      <c r="AJ153" s="14"/>
      <c r="AK153" s="11" t="str">
        <f t="shared" si="28"/>
        <v/>
      </c>
      <c r="AL153" s="11" t="str">
        <f t="shared" si="29"/>
        <v/>
      </c>
      <c r="AM153" s="11">
        <f t="shared" si="30"/>
        <v>0</v>
      </c>
      <c r="AN153" s="15" t="str">
        <f t="shared" si="31"/>
        <v/>
      </c>
      <c r="AO153" s="15"/>
      <c r="AP153" s="16"/>
      <c r="AQ153" s="21"/>
      <c r="BC153" s="60">
        <f t="shared" si="25"/>
        <v>0</v>
      </c>
      <c r="BJ153" s="60">
        <f t="shared" si="32"/>
        <v>0</v>
      </c>
    </row>
    <row r="154" spans="1:62" s="17" customFormat="1" x14ac:dyDescent="0.3">
      <c r="A154" s="23">
        <v>152</v>
      </c>
      <c r="B154" s="7"/>
      <c r="C154" s="14"/>
      <c r="D154" s="14"/>
      <c r="E154" s="11"/>
      <c r="F154" s="14"/>
      <c r="G154" s="14"/>
      <c r="H154" s="11"/>
      <c r="I154" s="7"/>
      <c r="J154" s="14"/>
      <c r="K154" s="11"/>
      <c r="L154" s="7">
        <v>150</v>
      </c>
      <c r="M154" s="14"/>
      <c r="N154" s="11"/>
      <c r="O154" s="7">
        <v>150</v>
      </c>
      <c r="P154" s="14"/>
      <c r="Q154" s="11"/>
      <c r="R154" s="7">
        <v>150</v>
      </c>
      <c r="S154" s="14"/>
      <c r="T154" s="11"/>
      <c r="U154" s="14"/>
      <c r="V154" s="14"/>
      <c r="W154" s="11"/>
      <c r="X154" s="14"/>
      <c r="Y154" s="14"/>
      <c r="Z154" s="11"/>
      <c r="AA154" s="14"/>
      <c r="AB154" s="14"/>
      <c r="AC154" s="11"/>
      <c r="AD154" s="14"/>
      <c r="AE154" s="14"/>
      <c r="AF154" s="11" t="str">
        <f t="shared" si="26"/>
        <v/>
      </c>
      <c r="AG154" s="14"/>
      <c r="AH154" s="14"/>
      <c r="AI154" s="11" t="str">
        <f t="shared" si="27"/>
        <v/>
      </c>
      <c r="AJ154" s="14"/>
      <c r="AK154" s="11" t="str">
        <f t="shared" si="28"/>
        <v/>
      </c>
      <c r="AL154" s="11" t="str">
        <f t="shared" si="29"/>
        <v/>
      </c>
      <c r="AM154" s="11">
        <f t="shared" si="30"/>
        <v>0</v>
      </c>
      <c r="AN154" s="15" t="str">
        <f t="shared" si="31"/>
        <v/>
      </c>
      <c r="AO154" s="15"/>
      <c r="AP154" s="16"/>
      <c r="AQ154" s="21"/>
      <c r="BC154" s="60">
        <f t="shared" si="25"/>
        <v>0</v>
      </c>
      <c r="BJ154" s="60">
        <f t="shared" si="32"/>
        <v>0</v>
      </c>
    </row>
    <row r="155" spans="1:62" s="17" customFormat="1" x14ac:dyDescent="0.3">
      <c r="A155" s="23">
        <v>153</v>
      </c>
      <c r="B155" s="7"/>
      <c r="C155" s="14"/>
      <c r="D155" s="14"/>
      <c r="E155" s="11"/>
      <c r="F155" s="14"/>
      <c r="G155" s="14"/>
      <c r="H155" s="11"/>
      <c r="I155" s="7"/>
      <c r="J155" s="14"/>
      <c r="K155" s="11"/>
      <c r="L155" s="7">
        <v>151</v>
      </c>
      <c r="M155" s="14"/>
      <c r="N155" s="11"/>
      <c r="O155" s="7">
        <v>151</v>
      </c>
      <c r="P155" s="14"/>
      <c r="Q155" s="11"/>
      <c r="R155" s="7">
        <v>151</v>
      </c>
      <c r="S155" s="14"/>
      <c r="T155" s="11"/>
      <c r="U155" s="14"/>
      <c r="V155" s="14"/>
      <c r="W155" s="11"/>
      <c r="X155" s="14"/>
      <c r="Y155" s="14"/>
      <c r="Z155" s="11"/>
      <c r="AA155" s="14"/>
      <c r="AB155" s="14"/>
      <c r="AC155" s="11"/>
      <c r="AD155" s="14"/>
      <c r="AE155" s="14"/>
      <c r="AF155" s="11" t="str">
        <f t="shared" si="26"/>
        <v/>
      </c>
      <c r="AG155" s="14"/>
      <c r="AH155" s="14"/>
      <c r="AI155" s="11" t="str">
        <f t="shared" si="27"/>
        <v/>
      </c>
      <c r="AJ155" s="14"/>
      <c r="AK155" s="11" t="str">
        <f t="shared" si="28"/>
        <v/>
      </c>
      <c r="AL155" s="11" t="str">
        <f t="shared" si="29"/>
        <v/>
      </c>
      <c r="AM155" s="11">
        <f t="shared" si="30"/>
        <v>0</v>
      </c>
      <c r="AN155" s="15" t="str">
        <f t="shared" si="31"/>
        <v/>
      </c>
      <c r="AO155" s="15"/>
      <c r="AP155" s="16"/>
      <c r="AQ155" s="21"/>
      <c r="BC155" s="60">
        <f t="shared" si="25"/>
        <v>0</v>
      </c>
      <c r="BJ155" s="60">
        <f t="shared" si="32"/>
        <v>0</v>
      </c>
    </row>
    <row r="156" spans="1:62" s="17" customFormat="1" x14ac:dyDescent="0.3">
      <c r="A156" s="23">
        <v>154</v>
      </c>
      <c r="B156" s="7"/>
      <c r="C156" s="14"/>
      <c r="D156" s="14"/>
      <c r="E156" s="11"/>
      <c r="F156" s="14"/>
      <c r="G156" s="14"/>
      <c r="H156" s="11"/>
      <c r="I156" s="7"/>
      <c r="J156" s="14"/>
      <c r="K156" s="11"/>
      <c r="L156" s="7">
        <v>152</v>
      </c>
      <c r="M156" s="14"/>
      <c r="N156" s="11"/>
      <c r="O156" s="7">
        <v>152</v>
      </c>
      <c r="P156" s="14"/>
      <c r="Q156" s="11"/>
      <c r="R156" s="7">
        <v>152</v>
      </c>
      <c r="S156" s="14"/>
      <c r="T156" s="11"/>
      <c r="U156" s="14"/>
      <c r="V156" s="14"/>
      <c r="W156" s="11"/>
      <c r="X156" s="14"/>
      <c r="Y156" s="14"/>
      <c r="Z156" s="11"/>
      <c r="AA156" s="14"/>
      <c r="AB156" s="14"/>
      <c r="AC156" s="11"/>
      <c r="AD156" s="14"/>
      <c r="AE156" s="14"/>
      <c r="AF156" s="11" t="str">
        <f t="shared" si="26"/>
        <v/>
      </c>
      <c r="AG156" s="14"/>
      <c r="AH156" s="14"/>
      <c r="AI156" s="11" t="str">
        <f t="shared" si="27"/>
        <v/>
      </c>
      <c r="AJ156" s="14"/>
      <c r="AK156" s="11" t="str">
        <f t="shared" si="28"/>
        <v/>
      </c>
      <c r="AL156" s="11" t="str">
        <f t="shared" si="29"/>
        <v/>
      </c>
      <c r="AM156" s="11">
        <f t="shared" si="30"/>
        <v>0</v>
      </c>
      <c r="AN156" s="15" t="str">
        <f t="shared" si="31"/>
        <v/>
      </c>
      <c r="AO156" s="15"/>
      <c r="AP156" s="16"/>
      <c r="AQ156" s="21"/>
      <c r="BC156" s="60">
        <f t="shared" si="25"/>
        <v>0</v>
      </c>
      <c r="BJ156" s="60">
        <f t="shared" si="32"/>
        <v>0</v>
      </c>
    </row>
    <row r="157" spans="1:62" s="17" customFormat="1" x14ac:dyDescent="0.3">
      <c r="A157" s="23">
        <v>155</v>
      </c>
      <c r="B157" s="7"/>
      <c r="C157" s="14"/>
      <c r="D157" s="14"/>
      <c r="E157" s="11"/>
      <c r="F157" s="14"/>
      <c r="G157" s="14"/>
      <c r="H157" s="11"/>
      <c r="I157" s="7"/>
      <c r="J157" s="14"/>
      <c r="K157" s="11"/>
      <c r="L157" s="7">
        <v>153</v>
      </c>
      <c r="M157" s="14"/>
      <c r="N157" s="11"/>
      <c r="O157" s="7">
        <v>153</v>
      </c>
      <c r="P157" s="14"/>
      <c r="Q157" s="11"/>
      <c r="R157" s="7">
        <v>153</v>
      </c>
      <c r="S157" s="14"/>
      <c r="T157" s="11"/>
      <c r="U157" s="14"/>
      <c r="V157" s="14"/>
      <c r="W157" s="11"/>
      <c r="X157" s="14"/>
      <c r="Y157" s="14"/>
      <c r="Z157" s="11"/>
      <c r="AA157" s="14"/>
      <c r="AB157" s="14"/>
      <c r="AC157" s="11"/>
      <c r="AD157" s="14"/>
      <c r="AE157" s="14"/>
      <c r="AF157" s="11" t="str">
        <f t="shared" si="26"/>
        <v/>
      </c>
      <c r="AG157" s="14"/>
      <c r="AH157" s="14"/>
      <c r="AI157" s="11" t="str">
        <f t="shared" si="27"/>
        <v/>
      </c>
      <c r="AJ157" s="14"/>
      <c r="AK157" s="11" t="str">
        <f t="shared" si="28"/>
        <v/>
      </c>
      <c r="AL157" s="11" t="str">
        <f t="shared" si="29"/>
        <v/>
      </c>
      <c r="AM157" s="11">
        <f t="shared" si="30"/>
        <v>0</v>
      </c>
      <c r="AN157" s="15" t="str">
        <f t="shared" si="31"/>
        <v/>
      </c>
      <c r="AO157" s="15"/>
      <c r="AP157" s="16"/>
      <c r="AQ157" s="21"/>
      <c r="BC157" s="60">
        <f t="shared" si="25"/>
        <v>0</v>
      </c>
      <c r="BJ157" s="60">
        <f t="shared" si="32"/>
        <v>0</v>
      </c>
    </row>
    <row r="158" spans="1:62" s="17" customFormat="1" x14ac:dyDescent="0.3">
      <c r="A158" s="23">
        <v>156</v>
      </c>
      <c r="B158" s="7"/>
      <c r="C158" s="14"/>
      <c r="D158" s="14"/>
      <c r="E158" s="11"/>
      <c r="F158" s="14"/>
      <c r="G158" s="14"/>
      <c r="H158" s="11"/>
      <c r="I158" s="7"/>
      <c r="J158" s="14"/>
      <c r="K158" s="11"/>
      <c r="L158" s="7">
        <v>154</v>
      </c>
      <c r="M158" s="14"/>
      <c r="N158" s="11"/>
      <c r="O158" s="7">
        <v>154</v>
      </c>
      <c r="P158" s="14"/>
      <c r="Q158" s="11"/>
      <c r="R158" s="7">
        <v>154</v>
      </c>
      <c r="S158" s="14"/>
      <c r="T158" s="11"/>
      <c r="U158" s="14"/>
      <c r="V158" s="14"/>
      <c r="W158" s="11"/>
      <c r="X158" s="14"/>
      <c r="Y158" s="14"/>
      <c r="Z158" s="11"/>
      <c r="AA158" s="14"/>
      <c r="AB158" s="14"/>
      <c r="AC158" s="11"/>
      <c r="AD158" s="14"/>
      <c r="AE158" s="14"/>
      <c r="AF158" s="11" t="str">
        <f t="shared" si="26"/>
        <v/>
      </c>
      <c r="AG158" s="14"/>
      <c r="AH158" s="14"/>
      <c r="AI158" s="11" t="str">
        <f t="shared" si="27"/>
        <v/>
      </c>
      <c r="AJ158" s="14"/>
      <c r="AK158" s="11" t="str">
        <f t="shared" si="28"/>
        <v/>
      </c>
      <c r="AL158" s="11" t="str">
        <f t="shared" si="29"/>
        <v/>
      </c>
      <c r="AM158" s="11">
        <f t="shared" si="30"/>
        <v>0</v>
      </c>
      <c r="AN158" s="15" t="str">
        <f t="shared" si="31"/>
        <v/>
      </c>
      <c r="AO158" s="15"/>
      <c r="AP158" s="16"/>
      <c r="AQ158" s="21"/>
      <c r="BC158" s="60">
        <f t="shared" si="25"/>
        <v>0</v>
      </c>
      <c r="BJ158" s="60">
        <f t="shared" si="32"/>
        <v>0</v>
      </c>
    </row>
    <row r="159" spans="1:62" s="17" customFormat="1" x14ac:dyDescent="0.3">
      <c r="A159" s="23">
        <v>157</v>
      </c>
      <c r="B159" s="7"/>
      <c r="C159" s="14"/>
      <c r="D159" s="14"/>
      <c r="E159" s="11"/>
      <c r="F159" s="14"/>
      <c r="G159" s="14"/>
      <c r="H159" s="11"/>
      <c r="I159" s="7"/>
      <c r="J159" s="14"/>
      <c r="K159" s="11"/>
      <c r="L159" s="7">
        <v>155</v>
      </c>
      <c r="M159" s="14"/>
      <c r="N159" s="11"/>
      <c r="O159" s="7">
        <v>155</v>
      </c>
      <c r="P159" s="14"/>
      <c r="Q159" s="11"/>
      <c r="R159" s="7">
        <v>155</v>
      </c>
      <c r="S159" s="14"/>
      <c r="T159" s="11"/>
      <c r="U159" s="14"/>
      <c r="V159" s="14"/>
      <c r="W159" s="11"/>
      <c r="X159" s="14"/>
      <c r="Y159" s="14"/>
      <c r="Z159" s="11"/>
      <c r="AA159" s="14"/>
      <c r="AB159" s="14"/>
      <c r="AC159" s="11"/>
      <c r="AD159" s="14"/>
      <c r="AE159" s="14"/>
      <c r="AF159" s="11" t="str">
        <f t="shared" si="26"/>
        <v/>
      </c>
      <c r="AG159" s="14"/>
      <c r="AH159" s="14"/>
      <c r="AI159" s="11" t="str">
        <f t="shared" si="27"/>
        <v/>
      </c>
      <c r="AJ159" s="14"/>
      <c r="AK159" s="11" t="str">
        <f t="shared" si="28"/>
        <v/>
      </c>
      <c r="AL159" s="11" t="str">
        <f t="shared" si="29"/>
        <v/>
      </c>
      <c r="AM159" s="11">
        <f t="shared" si="30"/>
        <v>0</v>
      </c>
      <c r="AN159" s="15" t="str">
        <f t="shared" si="31"/>
        <v/>
      </c>
      <c r="AO159" s="15"/>
      <c r="AP159" s="16"/>
      <c r="AQ159" s="21"/>
      <c r="BC159" s="60">
        <f t="shared" si="25"/>
        <v>0</v>
      </c>
      <c r="BJ159" s="60">
        <f t="shared" si="32"/>
        <v>0</v>
      </c>
    </row>
    <row r="160" spans="1:62" s="17" customFormat="1" x14ac:dyDescent="0.3">
      <c r="A160" s="23">
        <v>158</v>
      </c>
      <c r="B160" s="7"/>
      <c r="C160" s="14"/>
      <c r="D160" s="14"/>
      <c r="E160" s="11"/>
      <c r="F160" s="14"/>
      <c r="G160" s="14"/>
      <c r="H160" s="11"/>
      <c r="I160" s="7"/>
      <c r="J160" s="14"/>
      <c r="K160" s="11"/>
      <c r="L160" s="7">
        <v>156</v>
      </c>
      <c r="M160" s="14"/>
      <c r="N160" s="11"/>
      <c r="O160" s="7">
        <v>156</v>
      </c>
      <c r="P160" s="14"/>
      <c r="Q160" s="11"/>
      <c r="R160" s="7">
        <v>156</v>
      </c>
      <c r="S160" s="14"/>
      <c r="T160" s="11"/>
      <c r="U160" s="14"/>
      <c r="V160" s="14"/>
      <c r="W160" s="11"/>
      <c r="X160" s="14"/>
      <c r="Y160" s="14"/>
      <c r="Z160" s="11"/>
      <c r="AA160" s="14"/>
      <c r="AB160" s="14"/>
      <c r="AC160" s="11"/>
      <c r="AD160" s="14"/>
      <c r="AE160" s="14"/>
      <c r="AF160" s="11" t="str">
        <f t="shared" si="26"/>
        <v/>
      </c>
      <c r="AG160" s="14"/>
      <c r="AH160" s="14"/>
      <c r="AI160" s="11" t="str">
        <f t="shared" si="27"/>
        <v/>
      </c>
      <c r="AJ160" s="14"/>
      <c r="AK160" s="11" t="str">
        <f t="shared" si="28"/>
        <v/>
      </c>
      <c r="AL160" s="11" t="str">
        <f t="shared" si="29"/>
        <v/>
      </c>
      <c r="AM160" s="11">
        <f t="shared" si="30"/>
        <v>0</v>
      </c>
      <c r="AN160" s="15" t="str">
        <f t="shared" si="31"/>
        <v/>
      </c>
      <c r="AO160" s="15"/>
      <c r="AP160" s="16"/>
      <c r="AQ160" s="21"/>
      <c r="BC160" s="60">
        <f t="shared" si="25"/>
        <v>0</v>
      </c>
      <c r="BJ160" s="60">
        <f t="shared" si="32"/>
        <v>0</v>
      </c>
    </row>
    <row r="161" spans="1:62" s="17" customFormat="1" x14ac:dyDescent="0.3">
      <c r="A161" s="23">
        <v>159</v>
      </c>
      <c r="B161" s="7"/>
      <c r="C161" s="14"/>
      <c r="D161" s="14"/>
      <c r="E161" s="11"/>
      <c r="F161" s="14"/>
      <c r="G161" s="14"/>
      <c r="H161" s="11"/>
      <c r="I161" s="7"/>
      <c r="J161" s="14"/>
      <c r="K161" s="11"/>
      <c r="L161" s="7">
        <v>157</v>
      </c>
      <c r="M161" s="14"/>
      <c r="N161" s="11"/>
      <c r="O161" s="7">
        <v>157</v>
      </c>
      <c r="P161" s="14"/>
      <c r="Q161" s="11"/>
      <c r="R161" s="7">
        <v>157</v>
      </c>
      <c r="S161" s="14"/>
      <c r="T161" s="11"/>
      <c r="U161" s="14"/>
      <c r="V161" s="14"/>
      <c r="W161" s="11"/>
      <c r="X161" s="14"/>
      <c r="Y161" s="14"/>
      <c r="Z161" s="11"/>
      <c r="AA161" s="14"/>
      <c r="AB161" s="14"/>
      <c r="AC161" s="11"/>
      <c r="AD161" s="14"/>
      <c r="AE161" s="14"/>
      <c r="AF161" s="11" t="str">
        <f t="shared" si="26"/>
        <v/>
      </c>
      <c r="AG161" s="14"/>
      <c r="AH161" s="14"/>
      <c r="AI161" s="11" t="str">
        <f t="shared" si="27"/>
        <v/>
      </c>
      <c r="AJ161" s="14"/>
      <c r="AK161" s="11" t="str">
        <f t="shared" si="28"/>
        <v/>
      </c>
      <c r="AL161" s="11" t="str">
        <f t="shared" si="29"/>
        <v/>
      </c>
      <c r="AM161" s="11">
        <f t="shared" si="30"/>
        <v>0</v>
      </c>
      <c r="AN161" s="15" t="str">
        <f t="shared" si="31"/>
        <v/>
      </c>
      <c r="AO161" s="15"/>
      <c r="AP161" s="16"/>
      <c r="AQ161" s="21"/>
      <c r="BC161" s="60">
        <f t="shared" si="25"/>
        <v>0</v>
      </c>
      <c r="BJ161" s="60">
        <f t="shared" si="32"/>
        <v>0</v>
      </c>
    </row>
    <row r="162" spans="1:62" s="17" customFormat="1" x14ac:dyDescent="0.3">
      <c r="A162" s="23">
        <v>160</v>
      </c>
      <c r="B162" s="7"/>
      <c r="C162" s="14"/>
      <c r="D162" s="14"/>
      <c r="E162" s="11"/>
      <c r="F162" s="14"/>
      <c r="G162" s="14"/>
      <c r="H162" s="11"/>
      <c r="I162" s="7"/>
      <c r="J162" s="14"/>
      <c r="K162" s="11"/>
      <c r="L162" s="7">
        <v>158</v>
      </c>
      <c r="M162" s="14"/>
      <c r="N162" s="11"/>
      <c r="O162" s="7">
        <v>158</v>
      </c>
      <c r="P162" s="14"/>
      <c r="Q162" s="11"/>
      <c r="R162" s="7">
        <v>158</v>
      </c>
      <c r="S162" s="14"/>
      <c r="T162" s="11"/>
      <c r="U162" s="14"/>
      <c r="V162" s="14"/>
      <c r="W162" s="11"/>
      <c r="X162" s="14"/>
      <c r="Y162" s="14"/>
      <c r="Z162" s="11"/>
      <c r="AA162" s="14"/>
      <c r="AB162" s="14"/>
      <c r="AC162" s="11"/>
      <c r="AD162" s="14"/>
      <c r="AE162" s="14"/>
      <c r="AF162" s="11" t="str">
        <f t="shared" si="26"/>
        <v/>
      </c>
      <c r="AG162" s="14"/>
      <c r="AH162" s="14"/>
      <c r="AI162" s="11" t="str">
        <f t="shared" si="27"/>
        <v/>
      </c>
      <c r="AJ162" s="14"/>
      <c r="AK162" s="11" t="str">
        <f t="shared" si="28"/>
        <v/>
      </c>
      <c r="AL162" s="11" t="str">
        <f t="shared" si="29"/>
        <v/>
      </c>
      <c r="AM162" s="11">
        <f t="shared" si="30"/>
        <v>0</v>
      </c>
      <c r="AN162" s="15" t="str">
        <f t="shared" si="31"/>
        <v/>
      </c>
      <c r="AO162" s="15"/>
      <c r="AP162" s="16"/>
      <c r="AQ162" s="21"/>
      <c r="BC162" s="60">
        <f t="shared" si="25"/>
        <v>0</v>
      </c>
      <c r="BJ162" s="60">
        <f t="shared" si="32"/>
        <v>0</v>
      </c>
    </row>
    <row r="163" spans="1:62" s="17" customFormat="1" x14ac:dyDescent="0.3">
      <c r="A163" s="23">
        <v>161</v>
      </c>
      <c r="B163" s="7"/>
      <c r="C163" s="14"/>
      <c r="D163" s="14"/>
      <c r="E163" s="11"/>
      <c r="F163" s="14"/>
      <c r="G163" s="14"/>
      <c r="H163" s="11"/>
      <c r="I163" s="7"/>
      <c r="J163" s="14"/>
      <c r="K163" s="11"/>
      <c r="L163" s="7">
        <v>159</v>
      </c>
      <c r="M163" s="14"/>
      <c r="N163" s="11"/>
      <c r="O163" s="7">
        <v>159</v>
      </c>
      <c r="P163" s="14"/>
      <c r="Q163" s="11"/>
      <c r="R163" s="7">
        <v>159</v>
      </c>
      <c r="S163" s="14"/>
      <c r="T163" s="11"/>
      <c r="U163" s="14"/>
      <c r="V163" s="14"/>
      <c r="W163" s="11"/>
      <c r="X163" s="14"/>
      <c r="Y163" s="14"/>
      <c r="Z163" s="11"/>
      <c r="AA163" s="14"/>
      <c r="AB163" s="14"/>
      <c r="AC163" s="11"/>
      <c r="AD163" s="14"/>
      <c r="AE163" s="14"/>
      <c r="AF163" s="11" t="str">
        <f t="shared" si="26"/>
        <v/>
      </c>
      <c r="AG163" s="14"/>
      <c r="AH163" s="14"/>
      <c r="AI163" s="11" t="str">
        <f t="shared" si="27"/>
        <v/>
      </c>
      <c r="AJ163" s="14"/>
      <c r="AK163" s="11" t="str">
        <f t="shared" si="28"/>
        <v/>
      </c>
      <c r="AL163" s="11" t="str">
        <f t="shared" si="29"/>
        <v/>
      </c>
      <c r="AM163" s="11">
        <f t="shared" si="30"/>
        <v>0</v>
      </c>
      <c r="AN163" s="15" t="str">
        <f t="shared" si="31"/>
        <v/>
      </c>
      <c r="AO163" s="15"/>
      <c r="AP163" s="16"/>
      <c r="AQ163" s="21"/>
      <c r="BC163" s="60">
        <f t="shared" si="25"/>
        <v>0</v>
      </c>
      <c r="BJ163" s="60">
        <f t="shared" si="32"/>
        <v>0</v>
      </c>
    </row>
    <row r="164" spans="1:62" s="17" customFormat="1" x14ac:dyDescent="0.3">
      <c r="A164" s="23">
        <v>162</v>
      </c>
      <c r="B164" s="7"/>
      <c r="C164" s="14"/>
      <c r="D164" s="14"/>
      <c r="E164" s="11"/>
      <c r="F164" s="14"/>
      <c r="G164" s="14"/>
      <c r="H164" s="11"/>
      <c r="I164" s="7"/>
      <c r="J164" s="14"/>
      <c r="K164" s="11"/>
      <c r="L164" s="7">
        <v>160</v>
      </c>
      <c r="M164" s="14"/>
      <c r="N164" s="11"/>
      <c r="O164" s="7">
        <v>160</v>
      </c>
      <c r="P164" s="14"/>
      <c r="Q164" s="11"/>
      <c r="R164" s="7">
        <v>160</v>
      </c>
      <c r="S164" s="14"/>
      <c r="T164" s="11"/>
      <c r="U164" s="14"/>
      <c r="V164" s="14"/>
      <c r="W164" s="11"/>
      <c r="X164" s="14"/>
      <c r="Y164" s="14"/>
      <c r="Z164" s="11"/>
      <c r="AA164" s="14"/>
      <c r="AB164" s="14"/>
      <c r="AC164" s="11"/>
      <c r="AD164" s="14"/>
      <c r="AE164" s="14"/>
      <c r="AF164" s="11" t="str">
        <f t="shared" si="26"/>
        <v/>
      </c>
      <c r="AG164" s="14"/>
      <c r="AH164" s="14"/>
      <c r="AI164" s="11" t="str">
        <f t="shared" si="27"/>
        <v/>
      </c>
      <c r="AJ164" s="14"/>
      <c r="AK164" s="11" t="str">
        <f t="shared" si="28"/>
        <v/>
      </c>
      <c r="AL164" s="11" t="str">
        <f t="shared" si="29"/>
        <v/>
      </c>
      <c r="AM164" s="11">
        <f t="shared" si="30"/>
        <v>0</v>
      </c>
      <c r="AN164" s="15" t="str">
        <f t="shared" si="31"/>
        <v/>
      </c>
      <c r="AO164" s="15"/>
      <c r="AP164" s="16"/>
      <c r="AQ164" s="21"/>
      <c r="BC164" s="60">
        <f t="shared" si="25"/>
        <v>0</v>
      </c>
      <c r="BJ164" s="60">
        <f t="shared" si="32"/>
        <v>0</v>
      </c>
    </row>
    <row r="165" spans="1:62" s="17" customFormat="1" x14ac:dyDescent="0.3">
      <c r="A165" s="23">
        <v>163</v>
      </c>
      <c r="B165" s="7"/>
      <c r="C165" s="14"/>
      <c r="D165" s="14"/>
      <c r="E165" s="11"/>
      <c r="F165" s="14"/>
      <c r="G165" s="14"/>
      <c r="H165" s="11"/>
      <c r="I165" s="7"/>
      <c r="J165" s="14"/>
      <c r="K165" s="11"/>
      <c r="L165" s="7">
        <v>161</v>
      </c>
      <c r="M165" s="14"/>
      <c r="N165" s="11"/>
      <c r="O165" s="7">
        <v>161</v>
      </c>
      <c r="P165" s="14"/>
      <c r="Q165" s="11"/>
      <c r="R165" s="7">
        <v>161</v>
      </c>
      <c r="S165" s="14"/>
      <c r="T165" s="11"/>
      <c r="U165" s="14"/>
      <c r="V165" s="14"/>
      <c r="W165" s="11"/>
      <c r="X165" s="14"/>
      <c r="Y165" s="14"/>
      <c r="Z165" s="11"/>
      <c r="AA165" s="14"/>
      <c r="AB165" s="14"/>
      <c r="AC165" s="11"/>
      <c r="AD165" s="14"/>
      <c r="AE165" s="14"/>
      <c r="AF165" s="11" t="str">
        <f t="shared" si="26"/>
        <v/>
      </c>
      <c r="AG165" s="14"/>
      <c r="AH165" s="14"/>
      <c r="AI165" s="11" t="str">
        <f t="shared" si="27"/>
        <v/>
      </c>
      <c r="AJ165" s="14"/>
      <c r="AK165" s="11" t="str">
        <f t="shared" si="28"/>
        <v/>
      </c>
      <c r="AL165" s="11" t="str">
        <f t="shared" si="29"/>
        <v/>
      </c>
      <c r="AM165" s="11">
        <f t="shared" si="30"/>
        <v>0</v>
      </c>
      <c r="AN165" s="15" t="str">
        <f t="shared" si="31"/>
        <v/>
      </c>
      <c r="AO165" s="15"/>
      <c r="AP165" s="16"/>
      <c r="AQ165" s="21"/>
      <c r="BC165" s="60">
        <f t="shared" si="25"/>
        <v>0</v>
      </c>
      <c r="BJ165" s="60">
        <f t="shared" si="32"/>
        <v>0</v>
      </c>
    </row>
    <row r="166" spans="1:62" s="17" customFormat="1" x14ac:dyDescent="0.3">
      <c r="A166" s="23">
        <v>164</v>
      </c>
      <c r="B166" s="7"/>
      <c r="C166" s="14"/>
      <c r="D166" s="14"/>
      <c r="E166" s="11"/>
      <c r="F166" s="14"/>
      <c r="G166" s="14"/>
      <c r="H166" s="11"/>
      <c r="I166" s="7"/>
      <c r="J166" s="14"/>
      <c r="K166" s="11"/>
      <c r="L166" s="7">
        <v>162</v>
      </c>
      <c r="M166" s="14"/>
      <c r="N166" s="11"/>
      <c r="O166" s="7">
        <v>162</v>
      </c>
      <c r="P166" s="14"/>
      <c r="Q166" s="11"/>
      <c r="R166" s="7">
        <v>162</v>
      </c>
      <c r="S166" s="14"/>
      <c r="T166" s="11"/>
      <c r="U166" s="14"/>
      <c r="V166" s="14"/>
      <c r="W166" s="11"/>
      <c r="X166" s="14"/>
      <c r="Y166" s="14"/>
      <c r="Z166" s="11"/>
      <c r="AA166" s="14"/>
      <c r="AB166" s="14"/>
      <c r="AC166" s="11"/>
      <c r="AD166" s="14"/>
      <c r="AE166" s="14"/>
      <c r="AF166" s="11" t="str">
        <f t="shared" si="26"/>
        <v/>
      </c>
      <c r="AG166" s="14"/>
      <c r="AH166" s="14"/>
      <c r="AI166" s="11" t="str">
        <f t="shared" si="27"/>
        <v/>
      </c>
      <c r="AJ166" s="14"/>
      <c r="AK166" s="11" t="str">
        <f t="shared" si="28"/>
        <v/>
      </c>
      <c r="AL166" s="11" t="str">
        <f t="shared" si="29"/>
        <v/>
      </c>
      <c r="AM166" s="11">
        <f t="shared" si="30"/>
        <v>0</v>
      </c>
      <c r="AN166" s="15" t="str">
        <f t="shared" si="31"/>
        <v/>
      </c>
      <c r="AO166" s="15"/>
      <c r="AP166" s="16"/>
      <c r="AQ166" s="21"/>
      <c r="BC166" s="60">
        <f t="shared" si="25"/>
        <v>0</v>
      </c>
      <c r="BJ166" s="60">
        <f t="shared" si="32"/>
        <v>0</v>
      </c>
    </row>
    <row r="167" spans="1:62" s="17" customFormat="1" x14ac:dyDescent="0.3">
      <c r="A167" s="23">
        <v>165</v>
      </c>
      <c r="B167" s="7"/>
      <c r="C167" s="14"/>
      <c r="D167" s="14"/>
      <c r="E167" s="11"/>
      <c r="F167" s="14"/>
      <c r="G167" s="14"/>
      <c r="H167" s="11"/>
      <c r="I167" s="7"/>
      <c r="J167" s="14"/>
      <c r="K167" s="11"/>
      <c r="L167" s="7">
        <v>163</v>
      </c>
      <c r="M167" s="14"/>
      <c r="N167" s="11"/>
      <c r="O167" s="7">
        <v>163</v>
      </c>
      <c r="P167" s="14"/>
      <c r="Q167" s="11"/>
      <c r="R167" s="7">
        <v>163</v>
      </c>
      <c r="S167" s="14"/>
      <c r="T167" s="11"/>
      <c r="U167" s="14"/>
      <c r="V167" s="14"/>
      <c r="W167" s="11"/>
      <c r="X167" s="14"/>
      <c r="Y167" s="14"/>
      <c r="Z167" s="11"/>
      <c r="AA167" s="14"/>
      <c r="AB167" s="14"/>
      <c r="AC167" s="11"/>
      <c r="AD167" s="14"/>
      <c r="AE167" s="14"/>
      <c r="AF167" s="11" t="str">
        <f t="shared" si="26"/>
        <v/>
      </c>
      <c r="AG167" s="14"/>
      <c r="AH167" s="14"/>
      <c r="AI167" s="11" t="str">
        <f t="shared" si="27"/>
        <v/>
      </c>
      <c r="AJ167" s="14"/>
      <c r="AK167" s="11" t="str">
        <f t="shared" si="28"/>
        <v/>
      </c>
      <c r="AL167" s="11" t="str">
        <f t="shared" si="29"/>
        <v/>
      </c>
      <c r="AM167" s="11">
        <f t="shared" si="30"/>
        <v>0</v>
      </c>
      <c r="AN167" s="15" t="str">
        <f t="shared" si="31"/>
        <v/>
      </c>
      <c r="AO167" s="15"/>
      <c r="AP167" s="16"/>
      <c r="AQ167" s="21"/>
      <c r="BC167" s="60">
        <f t="shared" si="25"/>
        <v>0</v>
      </c>
      <c r="BJ167" s="60">
        <f t="shared" si="32"/>
        <v>0</v>
      </c>
    </row>
    <row r="168" spans="1:62" s="17" customFormat="1" x14ac:dyDescent="0.3">
      <c r="A168" s="23">
        <v>166</v>
      </c>
      <c r="B168" s="7"/>
      <c r="C168" s="14"/>
      <c r="D168" s="14"/>
      <c r="E168" s="11"/>
      <c r="F168" s="14"/>
      <c r="G168" s="14"/>
      <c r="H168" s="11"/>
      <c r="I168" s="7"/>
      <c r="J168" s="14"/>
      <c r="K168" s="11"/>
      <c r="L168" s="7">
        <v>164</v>
      </c>
      <c r="M168" s="14"/>
      <c r="N168" s="11"/>
      <c r="O168" s="7">
        <v>164</v>
      </c>
      <c r="P168" s="14"/>
      <c r="Q168" s="11"/>
      <c r="R168" s="7">
        <v>164</v>
      </c>
      <c r="S168" s="14"/>
      <c r="T168" s="11"/>
      <c r="U168" s="14"/>
      <c r="V168" s="14"/>
      <c r="W168" s="11"/>
      <c r="X168" s="14"/>
      <c r="Y168" s="14"/>
      <c r="Z168" s="11"/>
      <c r="AA168" s="14"/>
      <c r="AB168" s="14"/>
      <c r="AC168" s="11"/>
      <c r="AD168" s="14"/>
      <c r="AE168" s="14"/>
      <c r="AF168" s="11" t="str">
        <f t="shared" si="26"/>
        <v/>
      </c>
      <c r="AG168" s="14"/>
      <c r="AH168" s="14"/>
      <c r="AI168" s="11" t="str">
        <f t="shared" si="27"/>
        <v/>
      </c>
      <c r="AJ168" s="14"/>
      <c r="AK168" s="11" t="str">
        <f t="shared" si="28"/>
        <v/>
      </c>
      <c r="AL168" s="11" t="str">
        <f t="shared" si="29"/>
        <v/>
      </c>
      <c r="AM168" s="11">
        <f t="shared" si="30"/>
        <v>0</v>
      </c>
      <c r="AN168" s="15" t="str">
        <f t="shared" si="31"/>
        <v/>
      </c>
      <c r="AO168" s="15"/>
      <c r="AP168" s="16"/>
      <c r="AQ168" s="21"/>
      <c r="BC168" s="60">
        <f t="shared" si="25"/>
        <v>0</v>
      </c>
      <c r="BJ168" s="60">
        <f t="shared" si="32"/>
        <v>0</v>
      </c>
    </row>
    <row r="169" spans="1:62" s="17" customFormat="1" x14ac:dyDescent="0.3">
      <c r="A169" s="23">
        <v>167</v>
      </c>
      <c r="B169" s="7"/>
      <c r="C169" s="14"/>
      <c r="D169" s="14"/>
      <c r="E169" s="11"/>
      <c r="F169" s="14"/>
      <c r="G169" s="14"/>
      <c r="H169" s="11"/>
      <c r="I169" s="7"/>
      <c r="J169" s="14"/>
      <c r="K169" s="11"/>
      <c r="L169" s="7">
        <v>165</v>
      </c>
      <c r="M169" s="14"/>
      <c r="N169" s="11"/>
      <c r="O169" s="7">
        <v>165</v>
      </c>
      <c r="P169" s="14"/>
      <c r="Q169" s="11"/>
      <c r="R169" s="7">
        <v>165</v>
      </c>
      <c r="S169" s="14"/>
      <c r="T169" s="11"/>
      <c r="U169" s="14"/>
      <c r="V169" s="14"/>
      <c r="W169" s="11"/>
      <c r="X169" s="14"/>
      <c r="Y169" s="14"/>
      <c r="Z169" s="11"/>
      <c r="AA169" s="14"/>
      <c r="AB169" s="14"/>
      <c r="AC169" s="11"/>
      <c r="AD169" s="14"/>
      <c r="AE169" s="14"/>
      <c r="AF169" s="11" t="str">
        <f t="shared" si="26"/>
        <v/>
      </c>
      <c r="AG169" s="14"/>
      <c r="AH169" s="14"/>
      <c r="AI169" s="11" t="str">
        <f t="shared" si="27"/>
        <v/>
      </c>
      <c r="AJ169" s="14"/>
      <c r="AK169" s="11" t="str">
        <f t="shared" si="28"/>
        <v/>
      </c>
      <c r="AL169" s="11" t="str">
        <f t="shared" si="29"/>
        <v/>
      </c>
      <c r="AM169" s="11">
        <f t="shared" si="30"/>
        <v>0</v>
      </c>
      <c r="AN169" s="15" t="str">
        <f t="shared" si="31"/>
        <v/>
      </c>
      <c r="AO169" s="15"/>
      <c r="AP169" s="16"/>
      <c r="AQ169" s="21"/>
      <c r="BC169" s="60">
        <f t="shared" si="25"/>
        <v>0</v>
      </c>
      <c r="BJ169" s="60">
        <f t="shared" si="32"/>
        <v>0</v>
      </c>
    </row>
    <row r="170" spans="1:62" s="17" customFormat="1" x14ac:dyDescent="0.3">
      <c r="A170" s="23">
        <v>168</v>
      </c>
      <c r="B170" s="7"/>
      <c r="C170" s="14"/>
      <c r="D170" s="14"/>
      <c r="E170" s="11"/>
      <c r="F170" s="14"/>
      <c r="G170" s="14"/>
      <c r="H170" s="11"/>
      <c r="I170" s="7"/>
      <c r="J170" s="14"/>
      <c r="K170" s="11"/>
      <c r="L170" s="7">
        <v>166</v>
      </c>
      <c r="M170" s="14"/>
      <c r="N170" s="11"/>
      <c r="O170" s="7">
        <v>166</v>
      </c>
      <c r="P170" s="14"/>
      <c r="Q170" s="11"/>
      <c r="R170" s="7">
        <v>166</v>
      </c>
      <c r="S170" s="14"/>
      <c r="T170" s="11"/>
      <c r="U170" s="14"/>
      <c r="V170" s="14"/>
      <c r="W170" s="11"/>
      <c r="X170" s="14"/>
      <c r="Y170" s="14"/>
      <c r="Z170" s="11"/>
      <c r="AA170" s="14"/>
      <c r="AB170" s="14"/>
      <c r="AC170" s="11"/>
      <c r="AD170" s="14"/>
      <c r="AE170" s="14"/>
      <c r="AF170" s="11" t="str">
        <f t="shared" si="26"/>
        <v/>
      </c>
      <c r="AG170" s="14"/>
      <c r="AH170" s="14"/>
      <c r="AI170" s="11" t="str">
        <f t="shared" si="27"/>
        <v/>
      </c>
      <c r="AJ170" s="14"/>
      <c r="AK170" s="11" t="str">
        <f t="shared" si="28"/>
        <v/>
      </c>
      <c r="AL170" s="11" t="str">
        <f t="shared" si="29"/>
        <v/>
      </c>
      <c r="AM170" s="11">
        <f t="shared" si="30"/>
        <v>0</v>
      </c>
      <c r="AN170" s="15" t="str">
        <f t="shared" si="31"/>
        <v/>
      </c>
      <c r="AO170" s="15"/>
      <c r="AP170" s="16"/>
      <c r="AQ170" s="21"/>
      <c r="BC170" s="60">
        <f t="shared" si="25"/>
        <v>0</v>
      </c>
      <c r="BJ170" s="60">
        <f t="shared" si="32"/>
        <v>0</v>
      </c>
    </row>
    <row r="171" spans="1:62" s="17" customFormat="1" x14ac:dyDescent="0.3">
      <c r="A171" s="23">
        <v>169</v>
      </c>
      <c r="B171" s="7"/>
      <c r="C171" s="14"/>
      <c r="D171" s="14"/>
      <c r="E171" s="11"/>
      <c r="F171" s="14"/>
      <c r="G171" s="14"/>
      <c r="H171" s="11"/>
      <c r="I171" s="7"/>
      <c r="J171" s="14"/>
      <c r="K171" s="11"/>
      <c r="L171" s="7">
        <v>167</v>
      </c>
      <c r="M171" s="14"/>
      <c r="N171" s="11"/>
      <c r="O171" s="7">
        <v>167</v>
      </c>
      <c r="P171" s="14"/>
      <c r="Q171" s="11"/>
      <c r="R171" s="7">
        <v>167</v>
      </c>
      <c r="S171" s="14"/>
      <c r="T171" s="11"/>
      <c r="U171" s="14"/>
      <c r="V171" s="14"/>
      <c r="W171" s="11"/>
      <c r="X171" s="14"/>
      <c r="Y171" s="14"/>
      <c r="Z171" s="11"/>
      <c r="AA171" s="14"/>
      <c r="AB171" s="14"/>
      <c r="AC171" s="11"/>
      <c r="AD171" s="14"/>
      <c r="AE171" s="14"/>
      <c r="AF171" s="11" t="str">
        <f t="shared" si="26"/>
        <v/>
      </c>
      <c r="AG171" s="14"/>
      <c r="AH171" s="14"/>
      <c r="AI171" s="11" t="str">
        <f t="shared" si="27"/>
        <v/>
      </c>
      <c r="AJ171" s="14"/>
      <c r="AK171" s="11" t="str">
        <f t="shared" si="28"/>
        <v/>
      </c>
      <c r="AL171" s="11" t="str">
        <f t="shared" si="29"/>
        <v/>
      </c>
      <c r="AM171" s="11">
        <f t="shared" si="30"/>
        <v>0</v>
      </c>
      <c r="AN171" s="15" t="str">
        <f t="shared" si="31"/>
        <v/>
      </c>
      <c r="AO171" s="15"/>
      <c r="AP171" s="16"/>
      <c r="AQ171" s="21"/>
      <c r="BC171" s="60">
        <f t="shared" si="25"/>
        <v>0</v>
      </c>
      <c r="BJ171" s="60">
        <f t="shared" si="32"/>
        <v>0</v>
      </c>
    </row>
    <row r="172" spans="1:62" s="17" customFormat="1" x14ac:dyDescent="0.3">
      <c r="A172" s="23">
        <v>170</v>
      </c>
      <c r="B172" s="7"/>
      <c r="C172" s="14"/>
      <c r="D172" s="14"/>
      <c r="E172" s="11"/>
      <c r="F172" s="14"/>
      <c r="G172" s="14"/>
      <c r="H172" s="11"/>
      <c r="I172" s="7"/>
      <c r="J172" s="14"/>
      <c r="K172" s="11"/>
      <c r="L172" s="7">
        <v>168</v>
      </c>
      <c r="M172" s="14"/>
      <c r="N172" s="11"/>
      <c r="O172" s="7">
        <v>168</v>
      </c>
      <c r="P172" s="14"/>
      <c r="Q172" s="11"/>
      <c r="R172" s="7">
        <v>168</v>
      </c>
      <c r="S172" s="14"/>
      <c r="T172" s="11"/>
      <c r="U172" s="14"/>
      <c r="V172" s="14"/>
      <c r="W172" s="11"/>
      <c r="X172" s="14"/>
      <c r="Y172" s="14"/>
      <c r="Z172" s="11"/>
      <c r="AA172" s="14"/>
      <c r="AB172" s="14"/>
      <c r="AC172" s="11"/>
      <c r="AD172" s="14"/>
      <c r="AE172" s="14"/>
      <c r="AF172" s="11" t="str">
        <f t="shared" si="26"/>
        <v/>
      </c>
      <c r="AG172" s="14"/>
      <c r="AH172" s="14"/>
      <c r="AI172" s="11" t="str">
        <f t="shared" si="27"/>
        <v/>
      </c>
      <c r="AJ172" s="14"/>
      <c r="AK172" s="11" t="str">
        <f t="shared" si="28"/>
        <v/>
      </c>
      <c r="AL172" s="11" t="str">
        <f t="shared" si="29"/>
        <v/>
      </c>
      <c r="AM172" s="11">
        <f t="shared" si="30"/>
        <v>0</v>
      </c>
      <c r="AN172" s="15" t="str">
        <f t="shared" si="31"/>
        <v/>
      </c>
      <c r="AO172" s="15"/>
      <c r="AP172" s="16"/>
      <c r="AQ172" s="21"/>
      <c r="BC172" s="60">
        <f t="shared" si="25"/>
        <v>0</v>
      </c>
      <c r="BJ172" s="60">
        <f t="shared" si="32"/>
        <v>0</v>
      </c>
    </row>
    <row r="173" spans="1:62" s="17" customFormat="1" x14ac:dyDescent="0.3">
      <c r="A173" s="23">
        <v>171</v>
      </c>
      <c r="B173" s="7"/>
      <c r="C173" s="14"/>
      <c r="D173" s="14"/>
      <c r="E173" s="11"/>
      <c r="F173" s="14"/>
      <c r="G173" s="14"/>
      <c r="H173" s="11"/>
      <c r="I173" s="7"/>
      <c r="J173" s="14"/>
      <c r="K173" s="11"/>
      <c r="L173" s="7">
        <v>169</v>
      </c>
      <c r="M173" s="14"/>
      <c r="N173" s="11"/>
      <c r="O173" s="7">
        <v>169</v>
      </c>
      <c r="P173" s="14"/>
      <c r="Q173" s="11"/>
      <c r="R173" s="7">
        <v>169</v>
      </c>
      <c r="S173" s="14"/>
      <c r="T173" s="11"/>
      <c r="U173" s="14"/>
      <c r="V173" s="14"/>
      <c r="W173" s="11"/>
      <c r="X173" s="14"/>
      <c r="Y173" s="14"/>
      <c r="Z173" s="11"/>
      <c r="AA173" s="14"/>
      <c r="AB173" s="14"/>
      <c r="AC173" s="11"/>
      <c r="AD173" s="14"/>
      <c r="AE173" s="14"/>
      <c r="AF173" s="11" t="str">
        <f t="shared" si="26"/>
        <v/>
      </c>
      <c r="AG173" s="14"/>
      <c r="AH173" s="14"/>
      <c r="AI173" s="11" t="str">
        <f t="shared" si="27"/>
        <v/>
      </c>
      <c r="AJ173" s="14"/>
      <c r="AK173" s="11" t="str">
        <f t="shared" si="28"/>
        <v/>
      </c>
      <c r="AL173" s="11" t="str">
        <f t="shared" si="29"/>
        <v/>
      </c>
      <c r="AM173" s="11">
        <f t="shared" si="30"/>
        <v>0</v>
      </c>
      <c r="AN173" s="15" t="str">
        <f t="shared" si="31"/>
        <v/>
      </c>
      <c r="AO173" s="15"/>
      <c r="AP173" s="16"/>
      <c r="AQ173" s="21"/>
      <c r="BC173" s="60">
        <f t="shared" si="25"/>
        <v>0</v>
      </c>
      <c r="BJ173" s="60">
        <f t="shared" si="32"/>
        <v>0</v>
      </c>
    </row>
    <row r="174" spans="1:62" s="17" customFormat="1" x14ac:dyDescent="0.3">
      <c r="A174" s="23">
        <v>172</v>
      </c>
      <c r="B174" s="7"/>
      <c r="C174" s="14"/>
      <c r="D174" s="14"/>
      <c r="E174" s="11"/>
      <c r="F174" s="14"/>
      <c r="G174" s="14"/>
      <c r="H174" s="11"/>
      <c r="I174" s="7"/>
      <c r="J174" s="14"/>
      <c r="K174" s="11"/>
      <c r="L174" s="7">
        <v>170</v>
      </c>
      <c r="M174" s="14"/>
      <c r="N174" s="11"/>
      <c r="O174" s="7">
        <v>170</v>
      </c>
      <c r="P174" s="14"/>
      <c r="Q174" s="11"/>
      <c r="R174" s="7">
        <v>170</v>
      </c>
      <c r="S174" s="14"/>
      <c r="T174" s="11"/>
      <c r="U174" s="14"/>
      <c r="V174" s="14"/>
      <c r="W174" s="11"/>
      <c r="X174" s="14"/>
      <c r="Y174" s="14"/>
      <c r="Z174" s="11"/>
      <c r="AA174" s="14"/>
      <c r="AB174" s="14"/>
      <c r="AC174" s="11"/>
      <c r="AD174" s="14"/>
      <c r="AE174" s="14"/>
      <c r="AF174" s="11" t="str">
        <f t="shared" si="26"/>
        <v/>
      </c>
      <c r="AG174" s="14"/>
      <c r="AH174" s="14"/>
      <c r="AI174" s="11" t="str">
        <f t="shared" si="27"/>
        <v/>
      </c>
      <c r="AJ174" s="14"/>
      <c r="AK174" s="11" t="str">
        <f t="shared" si="28"/>
        <v/>
      </c>
      <c r="AL174" s="11" t="str">
        <f t="shared" si="29"/>
        <v/>
      </c>
      <c r="AM174" s="11">
        <f t="shared" si="30"/>
        <v>0</v>
      </c>
      <c r="AN174" s="15" t="str">
        <f t="shared" si="31"/>
        <v/>
      </c>
      <c r="AO174" s="15"/>
      <c r="AP174" s="16"/>
      <c r="AQ174" s="21"/>
      <c r="BC174" s="60">
        <f t="shared" si="25"/>
        <v>0</v>
      </c>
      <c r="BJ174" s="60">
        <f t="shared" si="32"/>
        <v>0</v>
      </c>
    </row>
    <row r="175" spans="1:62" s="17" customFormat="1" x14ac:dyDescent="0.3">
      <c r="A175" s="23">
        <v>173</v>
      </c>
      <c r="B175" s="7"/>
      <c r="C175" s="14"/>
      <c r="D175" s="14"/>
      <c r="E175" s="11"/>
      <c r="F175" s="14"/>
      <c r="G175" s="14"/>
      <c r="H175" s="11"/>
      <c r="I175" s="7"/>
      <c r="J175" s="14"/>
      <c r="K175" s="11"/>
      <c r="L175" s="7">
        <v>171</v>
      </c>
      <c r="M175" s="14"/>
      <c r="N175" s="11"/>
      <c r="O175" s="7">
        <v>171</v>
      </c>
      <c r="P175" s="14"/>
      <c r="Q175" s="11"/>
      <c r="R175" s="7">
        <v>171</v>
      </c>
      <c r="S175" s="14"/>
      <c r="T175" s="11"/>
      <c r="U175" s="14"/>
      <c r="V175" s="14"/>
      <c r="W175" s="11"/>
      <c r="X175" s="14"/>
      <c r="Y175" s="14"/>
      <c r="Z175" s="11"/>
      <c r="AA175" s="14"/>
      <c r="AB175" s="14"/>
      <c r="AC175" s="11"/>
      <c r="AD175" s="14"/>
      <c r="AE175" s="14"/>
      <c r="AF175" s="11" t="str">
        <f t="shared" si="26"/>
        <v/>
      </c>
      <c r="AG175" s="14"/>
      <c r="AH175" s="14"/>
      <c r="AI175" s="11" t="str">
        <f t="shared" si="27"/>
        <v/>
      </c>
      <c r="AJ175" s="14"/>
      <c r="AK175" s="11" t="str">
        <f t="shared" si="28"/>
        <v/>
      </c>
      <c r="AL175" s="11" t="str">
        <f t="shared" si="29"/>
        <v/>
      </c>
      <c r="AM175" s="11">
        <f t="shared" si="30"/>
        <v>0</v>
      </c>
      <c r="AN175" s="15" t="str">
        <f t="shared" si="31"/>
        <v/>
      </c>
      <c r="AO175" s="15"/>
      <c r="AP175" s="16"/>
      <c r="AQ175" s="21"/>
      <c r="BC175" s="60">
        <f t="shared" si="25"/>
        <v>0</v>
      </c>
      <c r="BJ175" s="60">
        <f t="shared" si="32"/>
        <v>0</v>
      </c>
    </row>
    <row r="176" spans="1:62" s="17" customFormat="1" x14ac:dyDescent="0.3">
      <c r="A176" s="23">
        <v>174</v>
      </c>
      <c r="B176" s="7"/>
      <c r="C176" s="14"/>
      <c r="D176" s="14"/>
      <c r="E176" s="11"/>
      <c r="F176" s="14"/>
      <c r="G176" s="14"/>
      <c r="H176" s="11"/>
      <c r="I176" s="7"/>
      <c r="J176" s="14"/>
      <c r="K176" s="11"/>
      <c r="L176" s="7">
        <v>172</v>
      </c>
      <c r="M176" s="14"/>
      <c r="N176" s="11"/>
      <c r="O176" s="7">
        <v>172</v>
      </c>
      <c r="P176" s="14"/>
      <c r="Q176" s="11"/>
      <c r="R176" s="7">
        <v>172</v>
      </c>
      <c r="S176" s="14"/>
      <c r="T176" s="11"/>
      <c r="U176" s="14"/>
      <c r="V176" s="14"/>
      <c r="W176" s="11"/>
      <c r="X176" s="14"/>
      <c r="Y176" s="14"/>
      <c r="Z176" s="11"/>
      <c r="AA176" s="14"/>
      <c r="AB176" s="14"/>
      <c r="AC176" s="11"/>
      <c r="AD176" s="14"/>
      <c r="AE176" s="14"/>
      <c r="AF176" s="11" t="str">
        <f t="shared" si="26"/>
        <v/>
      </c>
      <c r="AG176" s="14"/>
      <c r="AH176" s="14"/>
      <c r="AI176" s="11" t="str">
        <f t="shared" si="27"/>
        <v/>
      </c>
      <c r="AJ176" s="14"/>
      <c r="AK176" s="11" t="str">
        <f t="shared" si="28"/>
        <v/>
      </c>
      <c r="AL176" s="11" t="str">
        <f t="shared" si="29"/>
        <v/>
      </c>
      <c r="AM176" s="11">
        <f t="shared" si="30"/>
        <v>0</v>
      </c>
      <c r="AN176" s="15" t="str">
        <f t="shared" si="31"/>
        <v/>
      </c>
      <c r="AO176" s="15"/>
      <c r="AP176" s="16"/>
      <c r="AQ176" s="21"/>
      <c r="BC176" s="60">
        <f t="shared" si="25"/>
        <v>0</v>
      </c>
      <c r="BJ176" s="60">
        <f t="shared" si="32"/>
        <v>0</v>
      </c>
    </row>
    <row r="177" spans="1:62" s="17" customFormat="1" x14ac:dyDescent="0.3">
      <c r="A177" s="23">
        <v>175</v>
      </c>
      <c r="B177" s="7"/>
      <c r="C177" s="14"/>
      <c r="D177" s="14"/>
      <c r="E177" s="11"/>
      <c r="F177" s="14"/>
      <c r="G177" s="14"/>
      <c r="H177" s="11"/>
      <c r="I177" s="7"/>
      <c r="J177" s="14"/>
      <c r="K177" s="11"/>
      <c r="L177" s="7">
        <v>173</v>
      </c>
      <c r="M177" s="14"/>
      <c r="N177" s="11"/>
      <c r="O177" s="7">
        <v>173</v>
      </c>
      <c r="P177" s="14"/>
      <c r="Q177" s="11"/>
      <c r="R177" s="7">
        <v>173</v>
      </c>
      <c r="S177" s="14"/>
      <c r="T177" s="11"/>
      <c r="U177" s="14"/>
      <c r="V177" s="14"/>
      <c r="W177" s="11"/>
      <c r="X177" s="14"/>
      <c r="Y177" s="14"/>
      <c r="Z177" s="11"/>
      <c r="AA177" s="14"/>
      <c r="AB177" s="14"/>
      <c r="AC177" s="11"/>
      <c r="AD177" s="14"/>
      <c r="AE177" s="14"/>
      <c r="AF177" s="11" t="str">
        <f t="shared" si="26"/>
        <v/>
      </c>
      <c r="AG177" s="14"/>
      <c r="AH177" s="14"/>
      <c r="AI177" s="11" t="str">
        <f t="shared" si="27"/>
        <v/>
      </c>
      <c r="AJ177" s="14"/>
      <c r="AK177" s="11" t="str">
        <f t="shared" si="28"/>
        <v/>
      </c>
      <c r="AL177" s="11" t="str">
        <f t="shared" si="29"/>
        <v/>
      </c>
      <c r="AM177" s="11">
        <f t="shared" si="30"/>
        <v>0</v>
      </c>
      <c r="AN177" s="15" t="str">
        <f t="shared" si="31"/>
        <v/>
      </c>
      <c r="AO177" s="15"/>
      <c r="AP177" s="16"/>
      <c r="AQ177" s="21"/>
      <c r="BC177" s="60">
        <f t="shared" si="25"/>
        <v>0</v>
      </c>
      <c r="BJ177" s="60">
        <f t="shared" si="32"/>
        <v>0</v>
      </c>
    </row>
    <row r="178" spans="1:62" s="17" customFormat="1" x14ac:dyDescent="0.3">
      <c r="A178" s="23">
        <v>176</v>
      </c>
      <c r="B178" s="7"/>
      <c r="C178" s="14"/>
      <c r="D178" s="14"/>
      <c r="E178" s="11"/>
      <c r="F178" s="14"/>
      <c r="G178" s="14"/>
      <c r="H178" s="11"/>
      <c r="I178" s="7"/>
      <c r="J178" s="14"/>
      <c r="K178" s="11"/>
      <c r="L178" s="7">
        <v>174</v>
      </c>
      <c r="M178" s="14"/>
      <c r="N178" s="11"/>
      <c r="O178" s="7">
        <v>174</v>
      </c>
      <c r="P178" s="14"/>
      <c r="Q178" s="11"/>
      <c r="R178" s="7">
        <v>174</v>
      </c>
      <c r="S178" s="14"/>
      <c r="T178" s="11"/>
      <c r="U178" s="14"/>
      <c r="V178" s="14"/>
      <c r="W178" s="11"/>
      <c r="X178" s="14"/>
      <c r="Y178" s="14"/>
      <c r="Z178" s="11"/>
      <c r="AA178" s="14"/>
      <c r="AB178" s="14"/>
      <c r="AC178" s="11"/>
      <c r="AD178" s="14"/>
      <c r="AE178" s="14"/>
      <c r="AF178" s="11" t="str">
        <f t="shared" si="26"/>
        <v/>
      </c>
      <c r="AG178" s="14"/>
      <c r="AH178" s="14"/>
      <c r="AI178" s="11" t="str">
        <f t="shared" si="27"/>
        <v/>
      </c>
      <c r="AJ178" s="14"/>
      <c r="AK178" s="11" t="str">
        <f t="shared" si="28"/>
        <v/>
      </c>
      <c r="AL178" s="11" t="str">
        <f t="shared" si="29"/>
        <v/>
      </c>
      <c r="AM178" s="11">
        <f t="shared" si="30"/>
        <v>0</v>
      </c>
      <c r="AN178" s="15" t="str">
        <f t="shared" si="31"/>
        <v/>
      </c>
      <c r="AO178" s="15"/>
      <c r="AP178" s="16"/>
      <c r="AQ178" s="21"/>
      <c r="BC178" s="60">
        <f t="shared" si="25"/>
        <v>0</v>
      </c>
      <c r="BJ178" s="60">
        <f t="shared" si="32"/>
        <v>0</v>
      </c>
    </row>
    <row r="179" spans="1:62" s="17" customFormat="1" x14ac:dyDescent="0.3">
      <c r="A179" s="23">
        <v>177</v>
      </c>
      <c r="B179" s="7"/>
      <c r="C179" s="14"/>
      <c r="D179" s="14"/>
      <c r="E179" s="11"/>
      <c r="F179" s="14"/>
      <c r="G179" s="14"/>
      <c r="H179" s="11"/>
      <c r="I179" s="7"/>
      <c r="J179" s="14"/>
      <c r="K179" s="11"/>
      <c r="L179" s="7">
        <v>175</v>
      </c>
      <c r="M179" s="14"/>
      <c r="N179" s="11"/>
      <c r="O179" s="7">
        <v>175</v>
      </c>
      <c r="P179" s="14"/>
      <c r="Q179" s="11"/>
      <c r="R179" s="7">
        <v>175</v>
      </c>
      <c r="S179" s="14"/>
      <c r="T179" s="11"/>
      <c r="U179" s="14"/>
      <c r="V179" s="14"/>
      <c r="W179" s="11"/>
      <c r="X179" s="14"/>
      <c r="Y179" s="14"/>
      <c r="Z179" s="11"/>
      <c r="AA179" s="14"/>
      <c r="AB179" s="14"/>
      <c r="AC179" s="11"/>
      <c r="AD179" s="14"/>
      <c r="AE179" s="14"/>
      <c r="AF179" s="11" t="str">
        <f t="shared" si="26"/>
        <v/>
      </c>
      <c r="AG179" s="14"/>
      <c r="AH179" s="14"/>
      <c r="AI179" s="11" t="str">
        <f t="shared" si="27"/>
        <v/>
      </c>
      <c r="AJ179" s="14"/>
      <c r="AK179" s="11" t="str">
        <f t="shared" si="28"/>
        <v/>
      </c>
      <c r="AL179" s="11" t="str">
        <f t="shared" si="29"/>
        <v/>
      </c>
      <c r="AM179" s="11">
        <f t="shared" si="30"/>
        <v>0</v>
      </c>
      <c r="AN179" s="15" t="str">
        <f t="shared" si="31"/>
        <v/>
      </c>
      <c r="AO179" s="15"/>
      <c r="AP179" s="16"/>
      <c r="AQ179" s="21"/>
      <c r="BC179" s="60">
        <f t="shared" si="25"/>
        <v>0</v>
      </c>
      <c r="BJ179" s="60">
        <f t="shared" si="32"/>
        <v>0</v>
      </c>
    </row>
    <row r="180" spans="1:62" s="17" customFormat="1" x14ac:dyDescent="0.3">
      <c r="A180" s="23">
        <v>178</v>
      </c>
      <c r="B180" s="7"/>
      <c r="C180" s="14"/>
      <c r="D180" s="14"/>
      <c r="E180" s="11"/>
      <c r="F180" s="14"/>
      <c r="G180" s="14"/>
      <c r="H180" s="11"/>
      <c r="I180" s="7"/>
      <c r="J180" s="14"/>
      <c r="K180" s="11"/>
      <c r="L180" s="7">
        <v>176</v>
      </c>
      <c r="M180" s="14"/>
      <c r="N180" s="11"/>
      <c r="O180" s="7">
        <v>176</v>
      </c>
      <c r="P180" s="14"/>
      <c r="Q180" s="11"/>
      <c r="R180" s="7">
        <v>176</v>
      </c>
      <c r="S180" s="14"/>
      <c r="T180" s="11"/>
      <c r="U180" s="14"/>
      <c r="V180" s="14"/>
      <c r="W180" s="11"/>
      <c r="X180" s="14"/>
      <c r="Y180" s="14"/>
      <c r="Z180" s="11"/>
      <c r="AA180" s="14"/>
      <c r="AB180" s="14"/>
      <c r="AC180" s="11"/>
      <c r="AD180" s="14"/>
      <c r="AE180" s="14"/>
      <c r="AF180" s="11" t="str">
        <f t="shared" si="26"/>
        <v/>
      </c>
      <c r="AG180" s="14"/>
      <c r="AH180" s="14"/>
      <c r="AI180" s="11" t="str">
        <f t="shared" si="27"/>
        <v/>
      </c>
      <c r="AJ180" s="14"/>
      <c r="AK180" s="11" t="str">
        <f t="shared" si="28"/>
        <v/>
      </c>
      <c r="AL180" s="11" t="str">
        <f t="shared" si="29"/>
        <v/>
      </c>
      <c r="AM180" s="11">
        <f t="shared" si="30"/>
        <v>0</v>
      </c>
      <c r="AN180" s="15" t="str">
        <f t="shared" si="31"/>
        <v/>
      </c>
      <c r="AO180" s="15"/>
      <c r="AP180" s="16"/>
      <c r="AQ180" s="21"/>
      <c r="BC180" s="60">
        <f t="shared" si="25"/>
        <v>0</v>
      </c>
      <c r="BJ180" s="60">
        <f t="shared" si="32"/>
        <v>0</v>
      </c>
    </row>
    <row r="181" spans="1:62" s="17" customFormat="1" x14ac:dyDescent="0.3">
      <c r="A181" s="23">
        <v>179</v>
      </c>
      <c r="B181" s="7"/>
      <c r="C181" s="14"/>
      <c r="D181" s="14"/>
      <c r="E181" s="11"/>
      <c r="F181" s="14"/>
      <c r="G181" s="14"/>
      <c r="H181" s="11"/>
      <c r="I181" s="7"/>
      <c r="J181" s="14"/>
      <c r="K181" s="11"/>
      <c r="L181" s="7">
        <v>177</v>
      </c>
      <c r="M181" s="14"/>
      <c r="N181" s="11"/>
      <c r="O181" s="7">
        <v>177</v>
      </c>
      <c r="P181" s="14"/>
      <c r="Q181" s="11"/>
      <c r="R181" s="7">
        <v>177</v>
      </c>
      <c r="S181" s="14"/>
      <c r="T181" s="11"/>
      <c r="U181" s="14"/>
      <c r="V181" s="14"/>
      <c r="W181" s="11"/>
      <c r="X181" s="14"/>
      <c r="Y181" s="14"/>
      <c r="Z181" s="11"/>
      <c r="AA181" s="14"/>
      <c r="AB181" s="14"/>
      <c r="AC181" s="11"/>
      <c r="AD181" s="14"/>
      <c r="AE181" s="14"/>
      <c r="AF181" s="11" t="str">
        <f t="shared" si="26"/>
        <v/>
      </c>
      <c r="AG181" s="14"/>
      <c r="AH181" s="14"/>
      <c r="AI181" s="11" t="str">
        <f t="shared" si="27"/>
        <v/>
      </c>
      <c r="AJ181" s="14"/>
      <c r="AK181" s="11" t="str">
        <f t="shared" si="28"/>
        <v/>
      </c>
      <c r="AL181" s="11" t="str">
        <f t="shared" si="29"/>
        <v/>
      </c>
      <c r="AM181" s="11">
        <f t="shared" si="30"/>
        <v>0</v>
      </c>
      <c r="AN181" s="15" t="str">
        <f t="shared" si="31"/>
        <v/>
      </c>
      <c r="AO181" s="15"/>
      <c r="AP181" s="16"/>
      <c r="AQ181" s="21"/>
      <c r="BC181" s="60">
        <f t="shared" si="25"/>
        <v>0</v>
      </c>
      <c r="BJ181" s="60">
        <f t="shared" si="32"/>
        <v>0</v>
      </c>
    </row>
    <row r="182" spans="1:62" s="17" customFormat="1" x14ac:dyDescent="0.3">
      <c r="A182" s="23">
        <v>180</v>
      </c>
      <c r="B182" s="7"/>
      <c r="C182" s="14"/>
      <c r="D182" s="14"/>
      <c r="E182" s="11"/>
      <c r="F182" s="14"/>
      <c r="G182" s="14"/>
      <c r="H182" s="11"/>
      <c r="I182" s="7"/>
      <c r="J182" s="14"/>
      <c r="K182" s="11"/>
      <c r="L182" s="7">
        <v>178</v>
      </c>
      <c r="M182" s="14"/>
      <c r="N182" s="11"/>
      <c r="O182" s="7">
        <v>178</v>
      </c>
      <c r="P182" s="14"/>
      <c r="Q182" s="11"/>
      <c r="R182" s="7">
        <v>178</v>
      </c>
      <c r="S182" s="14"/>
      <c r="T182" s="11"/>
      <c r="U182" s="14"/>
      <c r="V182" s="14"/>
      <c r="W182" s="11"/>
      <c r="X182" s="14"/>
      <c r="Y182" s="14"/>
      <c r="Z182" s="11"/>
      <c r="AA182" s="14"/>
      <c r="AB182" s="14"/>
      <c r="AC182" s="11"/>
      <c r="AD182" s="14"/>
      <c r="AE182" s="14"/>
      <c r="AF182" s="11" t="str">
        <f t="shared" si="26"/>
        <v/>
      </c>
      <c r="AG182" s="14"/>
      <c r="AH182" s="14"/>
      <c r="AI182" s="11" t="str">
        <f t="shared" si="27"/>
        <v/>
      </c>
      <c r="AJ182" s="14"/>
      <c r="AK182" s="11" t="str">
        <f t="shared" si="28"/>
        <v/>
      </c>
      <c r="AL182" s="11" t="str">
        <f t="shared" si="29"/>
        <v/>
      </c>
      <c r="AM182" s="11">
        <f t="shared" si="30"/>
        <v>0</v>
      </c>
      <c r="AN182" s="15" t="str">
        <f t="shared" si="31"/>
        <v/>
      </c>
      <c r="AO182" s="15"/>
      <c r="AP182" s="16"/>
      <c r="AQ182" s="21"/>
      <c r="BC182" s="60">
        <f t="shared" si="25"/>
        <v>0</v>
      </c>
      <c r="BJ182" s="60">
        <f t="shared" si="32"/>
        <v>0</v>
      </c>
    </row>
    <row r="183" spans="1:62" s="17" customFormat="1" x14ac:dyDescent="0.3">
      <c r="A183" s="23">
        <v>181</v>
      </c>
      <c r="B183" s="7"/>
      <c r="C183" s="14"/>
      <c r="D183" s="14"/>
      <c r="E183" s="11"/>
      <c r="F183" s="14"/>
      <c r="G183" s="14"/>
      <c r="H183" s="11"/>
      <c r="I183" s="7"/>
      <c r="J183" s="14"/>
      <c r="K183" s="11"/>
      <c r="L183" s="7">
        <v>179</v>
      </c>
      <c r="M183" s="14"/>
      <c r="N183" s="11"/>
      <c r="O183" s="7">
        <v>179</v>
      </c>
      <c r="P183" s="14"/>
      <c r="Q183" s="11"/>
      <c r="R183" s="7">
        <v>179</v>
      </c>
      <c r="S183" s="14"/>
      <c r="T183" s="11"/>
      <c r="U183" s="14"/>
      <c r="V183" s="14"/>
      <c r="W183" s="11"/>
      <c r="X183" s="14"/>
      <c r="Y183" s="14"/>
      <c r="Z183" s="11"/>
      <c r="AA183" s="14"/>
      <c r="AB183" s="14"/>
      <c r="AC183" s="11"/>
      <c r="AD183" s="14"/>
      <c r="AE183" s="14"/>
      <c r="AF183" s="11" t="str">
        <f t="shared" si="26"/>
        <v/>
      </c>
      <c r="AG183" s="14"/>
      <c r="AH183" s="14"/>
      <c r="AI183" s="11" t="str">
        <f t="shared" si="27"/>
        <v/>
      </c>
      <c r="AJ183" s="14"/>
      <c r="AK183" s="11" t="str">
        <f t="shared" si="28"/>
        <v/>
      </c>
      <c r="AL183" s="11" t="str">
        <f t="shared" si="29"/>
        <v/>
      </c>
      <c r="AM183" s="11">
        <f t="shared" si="30"/>
        <v>0</v>
      </c>
      <c r="AN183" s="15" t="str">
        <f t="shared" si="31"/>
        <v/>
      </c>
      <c r="AO183" s="15"/>
      <c r="AP183" s="16"/>
      <c r="AQ183" s="21"/>
      <c r="BC183" s="60">
        <f t="shared" si="25"/>
        <v>0</v>
      </c>
      <c r="BJ183" s="60">
        <f t="shared" si="32"/>
        <v>0</v>
      </c>
    </row>
    <row r="184" spans="1:62" s="17" customFormat="1" x14ac:dyDescent="0.3">
      <c r="A184" s="23">
        <v>182</v>
      </c>
      <c r="B184" s="7"/>
      <c r="C184" s="14"/>
      <c r="D184" s="14"/>
      <c r="E184" s="11"/>
      <c r="F184" s="14"/>
      <c r="G184" s="14"/>
      <c r="H184" s="11"/>
      <c r="I184" s="7"/>
      <c r="J184" s="14"/>
      <c r="K184" s="11"/>
      <c r="L184" s="7">
        <v>180</v>
      </c>
      <c r="M184" s="14"/>
      <c r="N184" s="11"/>
      <c r="O184" s="7">
        <v>180</v>
      </c>
      <c r="P184" s="14"/>
      <c r="Q184" s="11"/>
      <c r="R184" s="7">
        <v>180</v>
      </c>
      <c r="S184" s="14"/>
      <c r="T184" s="11"/>
      <c r="U184" s="14"/>
      <c r="V184" s="14"/>
      <c r="W184" s="11"/>
      <c r="X184" s="14"/>
      <c r="Y184" s="14"/>
      <c r="Z184" s="11"/>
      <c r="AA184" s="14"/>
      <c r="AB184" s="14"/>
      <c r="AC184" s="11"/>
      <c r="AD184" s="14"/>
      <c r="AE184" s="14"/>
      <c r="AF184" s="11" t="str">
        <f t="shared" si="26"/>
        <v/>
      </c>
      <c r="AG184" s="14"/>
      <c r="AH184" s="14"/>
      <c r="AI184" s="11" t="str">
        <f t="shared" si="27"/>
        <v/>
      </c>
      <c r="AJ184" s="14"/>
      <c r="AK184" s="11" t="str">
        <f t="shared" si="28"/>
        <v/>
      </c>
      <c r="AL184" s="11" t="str">
        <f t="shared" si="29"/>
        <v/>
      </c>
      <c r="AM184" s="11">
        <f t="shared" si="30"/>
        <v>0</v>
      </c>
      <c r="AN184" s="15" t="str">
        <f t="shared" si="31"/>
        <v/>
      </c>
      <c r="AO184" s="15"/>
      <c r="AP184" s="16"/>
      <c r="AQ184" s="21"/>
      <c r="BC184" s="60">
        <f t="shared" ref="BC184:BC247" si="33">BB184-BA184</f>
        <v>0</v>
      </c>
      <c r="BJ184" s="60">
        <f t="shared" si="32"/>
        <v>0</v>
      </c>
    </row>
    <row r="185" spans="1:62" s="17" customFormat="1" x14ac:dyDescent="0.3">
      <c r="A185" s="23">
        <v>183</v>
      </c>
      <c r="B185" s="7"/>
      <c r="C185" s="14"/>
      <c r="D185" s="14"/>
      <c r="E185" s="11"/>
      <c r="F185" s="14"/>
      <c r="G185" s="14"/>
      <c r="H185" s="11"/>
      <c r="I185" s="7"/>
      <c r="J185" s="14"/>
      <c r="K185" s="11"/>
      <c r="L185" s="7">
        <v>181</v>
      </c>
      <c r="M185" s="14"/>
      <c r="N185" s="11"/>
      <c r="O185" s="7">
        <v>181</v>
      </c>
      <c r="P185" s="14"/>
      <c r="Q185" s="11"/>
      <c r="R185" s="7">
        <v>181</v>
      </c>
      <c r="S185" s="14"/>
      <c r="T185" s="11"/>
      <c r="U185" s="14"/>
      <c r="V185" s="14"/>
      <c r="W185" s="11"/>
      <c r="X185" s="14"/>
      <c r="Y185" s="14"/>
      <c r="Z185" s="11"/>
      <c r="AA185" s="14"/>
      <c r="AB185" s="14"/>
      <c r="AC185" s="11"/>
      <c r="AD185" s="14"/>
      <c r="AE185" s="14"/>
      <c r="AF185" s="11" t="str">
        <f t="shared" si="26"/>
        <v/>
      </c>
      <c r="AG185" s="14"/>
      <c r="AH185" s="14"/>
      <c r="AI185" s="11" t="str">
        <f t="shared" si="27"/>
        <v/>
      </c>
      <c r="AJ185" s="14"/>
      <c r="AK185" s="11" t="str">
        <f t="shared" si="28"/>
        <v/>
      </c>
      <c r="AL185" s="11" t="str">
        <f t="shared" si="29"/>
        <v/>
      </c>
      <c r="AM185" s="11">
        <f t="shared" si="30"/>
        <v>0</v>
      </c>
      <c r="AN185" s="15" t="str">
        <f t="shared" si="31"/>
        <v/>
      </c>
      <c r="AO185" s="15"/>
      <c r="AP185" s="16"/>
      <c r="AQ185" s="21"/>
      <c r="BC185" s="60">
        <f t="shared" si="33"/>
        <v>0</v>
      </c>
      <c r="BJ185" s="60">
        <f t="shared" si="32"/>
        <v>0</v>
      </c>
    </row>
    <row r="186" spans="1:62" s="17" customFormat="1" x14ac:dyDescent="0.3">
      <c r="A186" s="23">
        <v>184</v>
      </c>
      <c r="B186" s="7"/>
      <c r="C186" s="14"/>
      <c r="D186" s="14"/>
      <c r="E186" s="11"/>
      <c r="F186" s="14"/>
      <c r="G186" s="14"/>
      <c r="H186" s="11"/>
      <c r="I186" s="7"/>
      <c r="J186" s="14"/>
      <c r="K186" s="11"/>
      <c r="L186" s="7">
        <v>182</v>
      </c>
      <c r="M186" s="14"/>
      <c r="N186" s="11"/>
      <c r="O186" s="7">
        <v>182</v>
      </c>
      <c r="P186" s="14"/>
      <c r="Q186" s="11"/>
      <c r="R186" s="7">
        <v>182</v>
      </c>
      <c r="S186" s="14"/>
      <c r="T186" s="11"/>
      <c r="U186" s="14"/>
      <c r="V186" s="14"/>
      <c r="W186" s="11"/>
      <c r="X186" s="14"/>
      <c r="Y186" s="14"/>
      <c r="Z186" s="11"/>
      <c r="AA186" s="14"/>
      <c r="AB186" s="14"/>
      <c r="AC186" s="11"/>
      <c r="AD186" s="14"/>
      <c r="AE186" s="14"/>
      <c r="AF186" s="11" t="str">
        <f t="shared" si="26"/>
        <v/>
      </c>
      <c r="AG186" s="14"/>
      <c r="AH186" s="14"/>
      <c r="AI186" s="11" t="str">
        <f t="shared" si="27"/>
        <v/>
      </c>
      <c r="AJ186" s="14"/>
      <c r="AK186" s="11" t="str">
        <f t="shared" si="28"/>
        <v/>
      </c>
      <c r="AL186" s="11" t="str">
        <f t="shared" si="29"/>
        <v/>
      </c>
      <c r="AM186" s="11">
        <f t="shared" si="30"/>
        <v>0</v>
      </c>
      <c r="AN186" s="15" t="str">
        <f t="shared" si="31"/>
        <v/>
      </c>
      <c r="AO186" s="15"/>
      <c r="AP186" s="16"/>
      <c r="AQ186" s="21"/>
      <c r="BC186" s="60">
        <f t="shared" si="33"/>
        <v>0</v>
      </c>
      <c r="BJ186" s="60">
        <f t="shared" si="32"/>
        <v>0</v>
      </c>
    </row>
    <row r="187" spans="1:62" s="17" customFormat="1" x14ac:dyDescent="0.3">
      <c r="A187" s="23">
        <v>185</v>
      </c>
      <c r="B187" s="7"/>
      <c r="C187" s="14"/>
      <c r="D187" s="14"/>
      <c r="E187" s="11"/>
      <c r="F187" s="14"/>
      <c r="G187" s="14"/>
      <c r="H187" s="11"/>
      <c r="I187" s="7"/>
      <c r="J187" s="14"/>
      <c r="K187" s="11"/>
      <c r="L187" s="7">
        <v>183</v>
      </c>
      <c r="M187" s="14"/>
      <c r="N187" s="11"/>
      <c r="O187" s="7">
        <v>183</v>
      </c>
      <c r="P187" s="14"/>
      <c r="Q187" s="11"/>
      <c r="R187" s="7">
        <v>183</v>
      </c>
      <c r="S187" s="14"/>
      <c r="T187" s="11"/>
      <c r="U187" s="14"/>
      <c r="V187" s="14"/>
      <c r="W187" s="11"/>
      <c r="X187" s="14"/>
      <c r="Y187" s="14"/>
      <c r="Z187" s="11"/>
      <c r="AA187" s="14"/>
      <c r="AB187" s="14"/>
      <c r="AC187" s="11"/>
      <c r="AD187" s="14"/>
      <c r="AE187" s="14"/>
      <c r="AF187" s="11" t="str">
        <f t="shared" si="26"/>
        <v/>
      </c>
      <c r="AG187" s="14"/>
      <c r="AH187" s="14"/>
      <c r="AI187" s="11" t="str">
        <f t="shared" si="27"/>
        <v/>
      </c>
      <c r="AJ187" s="14"/>
      <c r="AK187" s="11" t="str">
        <f t="shared" si="28"/>
        <v/>
      </c>
      <c r="AL187" s="11" t="str">
        <f t="shared" si="29"/>
        <v/>
      </c>
      <c r="AM187" s="11">
        <f t="shared" si="30"/>
        <v>0</v>
      </c>
      <c r="AN187" s="15" t="str">
        <f t="shared" si="31"/>
        <v/>
      </c>
      <c r="AO187" s="15"/>
      <c r="AP187" s="16"/>
      <c r="AQ187" s="21"/>
      <c r="BC187" s="60">
        <f t="shared" si="33"/>
        <v>0</v>
      </c>
      <c r="BJ187" s="60">
        <f t="shared" si="32"/>
        <v>0</v>
      </c>
    </row>
    <row r="188" spans="1:62" s="17" customFormat="1" x14ac:dyDescent="0.3">
      <c r="A188" s="23">
        <v>186</v>
      </c>
      <c r="B188" s="7"/>
      <c r="C188" s="14"/>
      <c r="D188" s="14"/>
      <c r="E188" s="11"/>
      <c r="F188" s="14"/>
      <c r="G188" s="14"/>
      <c r="H188" s="11"/>
      <c r="I188" s="7"/>
      <c r="J188" s="14"/>
      <c r="K188" s="11"/>
      <c r="L188" s="7">
        <v>184</v>
      </c>
      <c r="M188" s="14"/>
      <c r="N188" s="11"/>
      <c r="O188" s="7">
        <v>184</v>
      </c>
      <c r="P188" s="14"/>
      <c r="Q188" s="11"/>
      <c r="R188" s="7">
        <v>184</v>
      </c>
      <c r="S188" s="14"/>
      <c r="T188" s="11"/>
      <c r="U188" s="14"/>
      <c r="V188" s="14"/>
      <c r="W188" s="11"/>
      <c r="X188" s="14"/>
      <c r="Y188" s="14"/>
      <c r="Z188" s="11"/>
      <c r="AA188" s="14"/>
      <c r="AB188" s="14"/>
      <c r="AC188" s="11"/>
      <c r="AD188" s="14"/>
      <c r="AE188" s="14"/>
      <c r="AF188" s="11" t="str">
        <f t="shared" si="26"/>
        <v/>
      </c>
      <c r="AG188" s="14"/>
      <c r="AH188" s="14"/>
      <c r="AI188" s="11" t="str">
        <f t="shared" si="27"/>
        <v/>
      </c>
      <c r="AJ188" s="14"/>
      <c r="AK188" s="11" t="str">
        <f t="shared" si="28"/>
        <v/>
      </c>
      <c r="AL188" s="11" t="str">
        <f t="shared" si="29"/>
        <v/>
      </c>
      <c r="AM188" s="11">
        <f t="shared" si="30"/>
        <v>0</v>
      </c>
      <c r="AN188" s="15" t="str">
        <f t="shared" si="31"/>
        <v/>
      </c>
      <c r="AO188" s="15"/>
      <c r="AP188" s="16"/>
      <c r="AQ188" s="21"/>
      <c r="BC188" s="60">
        <f t="shared" si="33"/>
        <v>0</v>
      </c>
      <c r="BJ188" s="60">
        <f t="shared" si="32"/>
        <v>0</v>
      </c>
    </row>
    <row r="189" spans="1:62" s="17" customFormat="1" x14ac:dyDescent="0.3">
      <c r="A189" s="23">
        <v>187</v>
      </c>
      <c r="B189" s="7"/>
      <c r="C189" s="14"/>
      <c r="D189" s="14"/>
      <c r="E189" s="11"/>
      <c r="F189" s="14"/>
      <c r="G189" s="14"/>
      <c r="H189" s="11"/>
      <c r="I189" s="7"/>
      <c r="J189" s="14"/>
      <c r="K189" s="11"/>
      <c r="L189" s="7">
        <v>185</v>
      </c>
      <c r="M189" s="14"/>
      <c r="N189" s="11"/>
      <c r="O189" s="7">
        <v>185</v>
      </c>
      <c r="P189" s="14"/>
      <c r="Q189" s="11"/>
      <c r="R189" s="7">
        <v>185</v>
      </c>
      <c r="S189" s="14"/>
      <c r="T189" s="11"/>
      <c r="U189" s="14"/>
      <c r="V189" s="14"/>
      <c r="W189" s="11"/>
      <c r="X189" s="14"/>
      <c r="Y189" s="14"/>
      <c r="Z189" s="11"/>
      <c r="AA189" s="14"/>
      <c r="AB189" s="14"/>
      <c r="AC189" s="11"/>
      <c r="AD189" s="14"/>
      <c r="AE189" s="14"/>
      <c r="AF189" s="11" t="str">
        <f t="shared" si="26"/>
        <v/>
      </c>
      <c r="AG189" s="14"/>
      <c r="AH189" s="14"/>
      <c r="AI189" s="11" t="str">
        <f t="shared" si="27"/>
        <v/>
      </c>
      <c r="AJ189" s="14"/>
      <c r="AK189" s="11" t="str">
        <f t="shared" si="28"/>
        <v/>
      </c>
      <c r="AL189" s="11" t="str">
        <f t="shared" si="29"/>
        <v/>
      </c>
      <c r="AM189" s="11">
        <f t="shared" si="30"/>
        <v>0</v>
      </c>
      <c r="AN189" s="15" t="str">
        <f t="shared" si="31"/>
        <v/>
      </c>
      <c r="AO189" s="15"/>
      <c r="AP189" s="16"/>
      <c r="AQ189" s="21"/>
      <c r="BC189" s="60">
        <f t="shared" si="33"/>
        <v>0</v>
      </c>
      <c r="BJ189" s="60">
        <f t="shared" si="32"/>
        <v>0</v>
      </c>
    </row>
    <row r="190" spans="1:62" s="17" customFormat="1" x14ac:dyDescent="0.3">
      <c r="A190" s="23">
        <v>188</v>
      </c>
      <c r="B190" s="7"/>
      <c r="C190" s="14"/>
      <c r="D190" s="14"/>
      <c r="E190" s="11"/>
      <c r="F190" s="14"/>
      <c r="G190" s="14"/>
      <c r="H190" s="11"/>
      <c r="I190" s="7"/>
      <c r="J190" s="14"/>
      <c r="K190" s="11"/>
      <c r="L190" s="7">
        <v>186</v>
      </c>
      <c r="M190" s="14"/>
      <c r="N190" s="11"/>
      <c r="O190" s="7">
        <v>186</v>
      </c>
      <c r="P190" s="14"/>
      <c r="Q190" s="11"/>
      <c r="R190" s="7">
        <v>186</v>
      </c>
      <c r="S190" s="14"/>
      <c r="T190" s="11"/>
      <c r="U190" s="14"/>
      <c r="V190" s="14"/>
      <c r="W190" s="11"/>
      <c r="X190" s="14"/>
      <c r="Y190" s="14"/>
      <c r="Z190" s="11"/>
      <c r="AA190" s="14"/>
      <c r="AB190" s="14"/>
      <c r="AC190" s="11"/>
      <c r="AD190" s="14"/>
      <c r="AE190" s="14"/>
      <c r="AF190" s="11" t="str">
        <f t="shared" si="26"/>
        <v/>
      </c>
      <c r="AG190" s="14"/>
      <c r="AH190" s="14"/>
      <c r="AI190" s="11" t="str">
        <f t="shared" si="27"/>
        <v/>
      </c>
      <c r="AJ190" s="14"/>
      <c r="AK190" s="11" t="str">
        <f t="shared" si="28"/>
        <v/>
      </c>
      <c r="AL190" s="11" t="str">
        <f t="shared" si="29"/>
        <v/>
      </c>
      <c r="AM190" s="11">
        <f t="shared" si="30"/>
        <v>0</v>
      </c>
      <c r="AN190" s="15" t="str">
        <f t="shared" si="31"/>
        <v/>
      </c>
      <c r="AO190" s="15"/>
      <c r="AP190" s="16"/>
      <c r="AQ190" s="21"/>
      <c r="BC190" s="60">
        <f t="shared" si="33"/>
        <v>0</v>
      </c>
      <c r="BJ190" s="60">
        <f t="shared" si="32"/>
        <v>0</v>
      </c>
    </row>
    <row r="191" spans="1:62" s="17" customFormat="1" x14ac:dyDescent="0.3">
      <c r="A191" s="23">
        <v>189</v>
      </c>
      <c r="B191" s="7"/>
      <c r="C191" s="14"/>
      <c r="D191" s="14"/>
      <c r="E191" s="11"/>
      <c r="F191" s="14"/>
      <c r="G191" s="14"/>
      <c r="H191" s="11"/>
      <c r="I191" s="7"/>
      <c r="J191" s="14"/>
      <c r="K191" s="11"/>
      <c r="L191" s="7">
        <v>187</v>
      </c>
      <c r="M191" s="14"/>
      <c r="N191" s="11"/>
      <c r="O191" s="7">
        <v>187</v>
      </c>
      <c r="P191" s="14"/>
      <c r="Q191" s="11"/>
      <c r="R191" s="7">
        <v>187</v>
      </c>
      <c r="S191" s="14"/>
      <c r="T191" s="11"/>
      <c r="U191" s="14"/>
      <c r="V191" s="14"/>
      <c r="W191" s="11"/>
      <c r="X191" s="14"/>
      <c r="Y191" s="14"/>
      <c r="Z191" s="11"/>
      <c r="AA191" s="14"/>
      <c r="AB191" s="14"/>
      <c r="AC191" s="11"/>
      <c r="AD191" s="14"/>
      <c r="AE191" s="14"/>
      <c r="AF191" s="11" t="str">
        <f t="shared" si="26"/>
        <v/>
      </c>
      <c r="AG191" s="14"/>
      <c r="AH191" s="14"/>
      <c r="AI191" s="11" t="str">
        <f t="shared" si="27"/>
        <v/>
      </c>
      <c r="AJ191" s="14"/>
      <c r="AK191" s="11" t="str">
        <f t="shared" si="28"/>
        <v/>
      </c>
      <c r="AL191" s="11" t="str">
        <f t="shared" si="29"/>
        <v/>
      </c>
      <c r="AM191" s="11">
        <f t="shared" si="30"/>
        <v>0</v>
      </c>
      <c r="AN191" s="15" t="str">
        <f t="shared" si="31"/>
        <v/>
      </c>
      <c r="AO191" s="15"/>
      <c r="AP191" s="16"/>
      <c r="AQ191" s="21"/>
      <c r="BC191" s="60">
        <f t="shared" si="33"/>
        <v>0</v>
      </c>
      <c r="BJ191" s="60">
        <f t="shared" si="32"/>
        <v>0</v>
      </c>
    </row>
    <row r="192" spans="1:62" s="17" customFormat="1" x14ac:dyDescent="0.3">
      <c r="A192" s="23">
        <v>190</v>
      </c>
      <c r="B192" s="7"/>
      <c r="C192" s="14"/>
      <c r="D192" s="14"/>
      <c r="E192" s="11"/>
      <c r="F192" s="14"/>
      <c r="G192" s="14"/>
      <c r="H192" s="11"/>
      <c r="I192" s="7"/>
      <c r="J192" s="14"/>
      <c r="K192" s="11"/>
      <c r="L192" s="7">
        <v>188</v>
      </c>
      <c r="M192" s="14"/>
      <c r="N192" s="11"/>
      <c r="O192" s="7">
        <v>188</v>
      </c>
      <c r="P192" s="14"/>
      <c r="Q192" s="11"/>
      <c r="R192" s="7">
        <v>188</v>
      </c>
      <c r="S192" s="14"/>
      <c r="T192" s="11"/>
      <c r="U192" s="14"/>
      <c r="V192" s="14"/>
      <c r="W192" s="11"/>
      <c r="X192" s="14"/>
      <c r="Y192" s="14"/>
      <c r="Z192" s="11"/>
      <c r="AA192" s="14"/>
      <c r="AB192" s="14"/>
      <c r="AC192" s="11"/>
      <c r="AD192" s="14"/>
      <c r="AE192" s="14"/>
      <c r="AF192" s="11" t="str">
        <f t="shared" si="26"/>
        <v/>
      </c>
      <c r="AG192" s="14"/>
      <c r="AH192" s="14"/>
      <c r="AI192" s="11" t="str">
        <f t="shared" si="27"/>
        <v/>
      </c>
      <c r="AJ192" s="14"/>
      <c r="AK192" s="11" t="str">
        <f t="shared" si="28"/>
        <v/>
      </c>
      <c r="AL192" s="11" t="str">
        <f t="shared" si="29"/>
        <v/>
      </c>
      <c r="AM192" s="11">
        <f t="shared" si="30"/>
        <v>0</v>
      </c>
      <c r="AN192" s="15" t="str">
        <f t="shared" si="31"/>
        <v/>
      </c>
      <c r="AO192" s="15"/>
      <c r="AP192" s="16"/>
      <c r="AQ192" s="21"/>
      <c r="BC192" s="60">
        <f t="shared" si="33"/>
        <v>0</v>
      </c>
      <c r="BJ192" s="60">
        <f t="shared" si="32"/>
        <v>0</v>
      </c>
    </row>
    <row r="193" spans="1:62" s="17" customFormat="1" x14ac:dyDescent="0.3">
      <c r="A193" s="23">
        <v>191</v>
      </c>
      <c r="B193" s="7"/>
      <c r="C193" s="14"/>
      <c r="D193" s="14"/>
      <c r="E193" s="11"/>
      <c r="F193" s="14"/>
      <c r="G193" s="14"/>
      <c r="H193" s="11"/>
      <c r="I193" s="7"/>
      <c r="J193" s="14"/>
      <c r="K193" s="11"/>
      <c r="L193" s="7">
        <v>189</v>
      </c>
      <c r="M193" s="14"/>
      <c r="N193" s="11"/>
      <c r="O193" s="7">
        <v>189</v>
      </c>
      <c r="P193" s="14"/>
      <c r="Q193" s="11"/>
      <c r="R193" s="7">
        <v>189</v>
      </c>
      <c r="S193" s="14"/>
      <c r="T193" s="11"/>
      <c r="U193" s="14"/>
      <c r="V193" s="14"/>
      <c r="W193" s="11"/>
      <c r="X193" s="14"/>
      <c r="Y193" s="14"/>
      <c r="Z193" s="11"/>
      <c r="AA193" s="14"/>
      <c r="AB193" s="14"/>
      <c r="AC193" s="11"/>
      <c r="AD193" s="14"/>
      <c r="AE193" s="14"/>
      <c r="AF193" s="11" t="str">
        <f t="shared" si="26"/>
        <v/>
      </c>
      <c r="AG193" s="14"/>
      <c r="AH193" s="14"/>
      <c r="AI193" s="11" t="str">
        <f t="shared" si="27"/>
        <v/>
      </c>
      <c r="AJ193" s="14"/>
      <c r="AK193" s="11" t="str">
        <f t="shared" si="28"/>
        <v/>
      </c>
      <c r="AL193" s="11" t="str">
        <f t="shared" si="29"/>
        <v/>
      </c>
      <c r="AM193" s="11">
        <f t="shared" si="30"/>
        <v>0</v>
      </c>
      <c r="AN193" s="15" t="str">
        <f t="shared" si="31"/>
        <v/>
      </c>
      <c r="AO193" s="15"/>
      <c r="AP193" s="16"/>
      <c r="AQ193" s="21"/>
      <c r="BC193" s="60">
        <f t="shared" si="33"/>
        <v>0</v>
      </c>
      <c r="BJ193" s="60">
        <f t="shared" si="32"/>
        <v>0</v>
      </c>
    </row>
    <row r="194" spans="1:62" s="17" customFormat="1" x14ac:dyDescent="0.3">
      <c r="A194" s="23">
        <v>192</v>
      </c>
      <c r="B194" s="7"/>
      <c r="C194" s="14"/>
      <c r="D194" s="14"/>
      <c r="E194" s="11"/>
      <c r="F194" s="14"/>
      <c r="G194" s="14"/>
      <c r="H194" s="11"/>
      <c r="I194" s="7"/>
      <c r="J194" s="14"/>
      <c r="K194" s="11"/>
      <c r="L194" s="7">
        <v>190</v>
      </c>
      <c r="M194" s="14"/>
      <c r="N194" s="11"/>
      <c r="O194" s="7">
        <v>190</v>
      </c>
      <c r="P194" s="14"/>
      <c r="Q194" s="11"/>
      <c r="R194" s="7">
        <v>190</v>
      </c>
      <c r="S194" s="14"/>
      <c r="T194" s="11"/>
      <c r="U194" s="14"/>
      <c r="V194" s="14"/>
      <c r="W194" s="11"/>
      <c r="X194" s="14"/>
      <c r="Y194" s="14"/>
      <c r="Z194" s="11"/>
      <c r="AA194" s="14"/>
      <c r="AB194" s="14"/>
      <c r="AC194" s="11"/>
      <c r="AD194" s="14"/>
      <c r="AE194" s="14"/>
      <c r="AF194" s="11" t="str">
        <f t="shared" si="26"/>
        <v/>
      </c>
      <c r="AG194" s="14"/>
      <c r="AH194" s="14"/>
      <c r="AI194" s="11" t="str">
        <f t="shared" si="27"/>
        <v/>
      </c>
      <c r="AJ194" s="14"/>
      <c r="AK194" s="11" t="str">
        <f t="shared" si="28"/>
        <v/>
      </c>
      <c r="AL194" s="11" t="str">
        <f t="shared" si="29"/>
        <v/>
      </c>
      <c r="AM194" s="11">
        <f t="shared" si="30"/>
        <v>0</v>
      </c>
      <c r="AN194" s="15" t="str">
        <f t="shared" si="31"/>
        <v/>
      </c>
      <c r="AO194" s="15"/>
      <c r="AP194" s="16"/>
      <c r="AQ194" s="21"/>
      <c r="BC194" s="60">
        <f t="shared" si="33"/>
        <v>0</v>
      </c>
      <c r="BJ194" s="60">
        <f t="shared" si="32"/>
        <v>0</v>
      </c>
    </row>
    <row r="195" spans="1:62" s="17" customFormat="1" x14ac:dyDescent="0.3">
      <c r="A195" s="23">
        <v>193</v>
      </c>
      <c r="B195" s="7"/>
      <c r="C195" s="14"/>
      <c r="D195" s="14"/>
      <c r="E195" s="11"/>
      <c r="F195" s="14"/>
      <c r="G195" s="14"/>
      <c r="H195" s="11"/>
      <c r="I195" s="7"/>
      <c r="J195" s="14"/>
      <c r="K195" s="11"/>
      <c r="L195" s="7">
        <v>191</v>
      </c>
      <c r="M195" s="14"/>
      <c r="N195" s="11"/>
      <c r="O195" s="7">
        <v>191</v>
      </c>
      <c r="P195" s="14"/>
      <c r="Q195" s="11"/>
      <c r="R195" s="7">
        <v>191</v>
      </c>
      <c r="S195" s="14"/>
      <c r="T195" s="11"/>
      <c r="U195" s="14"/>
      <c r="V195" s="14"/>
      <c r="W195" s="11"/>
      <c r="X195" s="14"/>
      <c r="Y195" s="14"/>
      <c r="Z195" s="11"/>
      <c r="AA195" s="14"/>
      <c r="AB195" s="14"/>
      <c r="AC195" s="11"/>
      <c r="AD195" s="14"/>
      <c r="AE195" s="14"/>
      <c r="AF195" s="11" t="str">
        <f t="shared" si="26"/>
        <v/>
      </c>
      <c r="AG195" s="14"/>
      <c r="AH195" s="14"/>
      <c r="AI195" s="11" t="str">
        <f t="shared" si="27"/>
        <v/>
      </c>
      <c r="AJ195" s="14"/>
      <c r="AK195" s="11" t="str">
        <f t="shared" si="28"/>
        <v/>
      </c>
      <c r="AL195" s="11" t="str">
        <f t="shared" si="29"/>
        <v/>
      </c>
      <c r="AM195" s="11">
        <f t="shared" si="30"/>
        <v>0</v>
      </c>
      <c r="AN195" s="15" t="str">
        <f t="shared" si="31"/>
        <v/>
      </c>
      <c r="AO195" s="15"/>
      <c r="AP195" s="16"/>
      <c r="AQ195" s="21"/>
      <c r="BC195" s="60">
        <f t="shared" si="33"/>
        <v>0</v>
      </c>
      <c r="BJ195" s="60">
        <f t="shared" si="32"/>
        <v>0</v>
      </c>
    </row>
    <row r="196" spans="1:62" s="17" customFormat="1" x14ac:dyDescent="0.3">
      <c r="A196" s="23">
        <v>194</v>
      </c>
      <c r="B196" s="7"/>
      <c r="C196" s="14"/>
      <c r="D196" s="14"/>
      <c r="E196" s="11"/>
      <c r="F196" s="14"/>
      <c r="G196" s="14"/>
      <c r="H196" s="11"/>
      <c r="I196" s="7"/>
      <c r="J196" s="14"/>
      <c r="K196" s="11"/>
      <c r="L196" s="7">
        <v>192</v>
      </c>
      <c r="M196" s="14"/>
      <c r="N196" s="11"/>
      <c r="O196" s="7">
        <v>192</v>
      </c>
      <c r="P196" s="14"/>
      <c r="Q196" s="11"/>
      <c r="R196" s="7">
        <v>192</v>
      </c>
      <c r="S196" s="14"/>
      <c r="T196" s="11"/>
      <c r="U196" s="14"/>
      <c r="V196" s="14"/>
      <c r="W196" s="11"/>
      <c r="X196" s="14"/>
      <c r="Y196" s="14"/>
      <c r="Z196" s="11"/>
      <c r="AA196" s="14"/>
      <c r="AB196" s="14"/>
      <c r="AC196" s="11"/>
      <c r="AD196" s="14"/>
      <c r="AE196" s="14"/>
      <c r="AF196" s="11" t="str">
        <f t="shared" si="26"/>
        <v/>
      </c>
      <c r="AG196" s="14"/>
      <c r="AH196" s="14"/>
      <c r="AI196" s="11" t="str">
        <f t="shared" si="27"/>
        <v/>
      </c>
      <c r="AJ196" s="14"/>
      <c r="AK196" s="11" t="str">
        <f t="shared" si="28"/>
        <v/>
      </c>
      <c r="AL196" s="11" t="str">
        <f t="shared" si="29"/>
        <v/>
      </c>
      <c r="AM196" s="11">
        <f t="shared" si="30"/>
        <v>0</v>
      </c>
      <c r="AN196" s="15" t="str">
        <f t="shared" si="31"/>
        <v/>
      </c>
      <c r="AO196" s="15"/>
      <c r="AP196" s="16"/>
      <c r="AQ196" s="21"/>
      <c r="BC196" s="60">
        <f t="shared" si="33"/>
        <v>0</v>
      </c>
      <c r="BJ196" s="60">
        <f t="shared" si="32"/>
        <v>0</v>
      </c>
    </row>
    <row r="197" spans="1:62" s="17" customFormat="1" x14ac:dyDescent="0.3">
      <c r="A197" s="23">
        <v>195</v>
      </c>
      <c r="B197" s="7"/>
      <c r="C197" s="14"/>
      <c r="D197" s="14"/>
      <c r="E197" s="11"/>
      <c r="F197" s="14"/>
      <c r="G197" s="14"/>
      <c r="H197" s="11"/>
      <c r="I197" s="7"/>
      <c r="J197" s="14"/>
      <c r="K197" s="11"/>
      <c r="L197" s="7">
        <v>193</v>
      </c>
      <c r="M197" s="14"/>
      <c r="N197" s="11"/>
      <c r="O197" s="7">
        <v>193</v>
      </c>
      <c r="P197" s="14"/>
      <c r="Q197" s="11"/>
      <c r="R197" s="7">
        <v>193</v>
      </c>
      <c r="S197" s="14"/>
      <c r="T197" s="11"/>
      <c r="U197" s="14"/>
      <c r="V197" s="14"/>
      <c r="W197" s="11"/>
      <c r="X197" s="14"/>
      <c r="Y197" s="14"/>
      <c r="Z197" s="11"/>
      <c r="AA197" s="14"/>
      <c r="AB197" s="14"/>
      <c r="AC197" s="11"/>
      <c r="AD197" s="14"/>
      <c r="AE197" s="14"/>
      <c r="AF197" s="11" t="str">
        <f t="shared" ref="AF197:AF260" si="34">IF(AND(AD197&lt;&gt;"",AE197&lt;&gt;""),(AE197-AD197)*1440,"")</f>
        <v/>
      </c>
      <c r="AG197" s="14"/>
      <c r="AH197" s="14"/>
      <c r="AI197" s="11" t="str">
        <f t="shared" ref="AI197:AI260" si="35">IF(AND(AG197&lt;&gt;"",AH197&lt;&gt;""),(AH197-AG197)*1440,"")</f>
        <v/>
      </c>
      <c r="AJ197" s="14"/>
      <c r="AK197" s="11" t="str">
        <f t="shared" ref="AK197:AK260" si="36">IF(AND(C197&lt;&gt;"",AJ197&lt;&gt;""),(AJ197-C197)*1440,"")</f>
        <v/>
      </c>
      <c r="AL197" s="11" t="str">
        <f t="shared" ref="AL197:AL260" si="37">IF(AC197="","",ROUND(N(AC197),1))</f>
        <v/>
      </c>
      <c r="AM197" s="11">
        <f t="shared" ref="AM197:AM260" si="38">IF(COUNT(D197,G197,J197,M197,P197,S197,V197,Y197,AF197,AI197,AT197,AW197,AZ197,BC197,BF197)=0,"",ROUND(N(D197)*1440+N(G197)*1440+N(J197)*1440+N(M197)*1440+N(P197)*1440+N(S197)*1440+N(V197)*1440+N(Y197)*1440+N(AF197)+N(AI197)+N(AT197)+N(AW197)+N(AZ197)+N(BC197)+N(BF197),1))</f>
        <v>0</v>
      </c>
      <c r="AN197" s="15" t="str">
        <f t="shared" ref="AN197:AN260" si="39">IF(OR(AK197="",AK197=0),"",AL197/AK197)</f>
        <v/>
      </c>
      <c r="AO197" s="15"/>
      <c r="AP197" s="16"/>
      <c r="AQ197" s="21"/>
      <c r="BC197" s="60">
        <f t="shared" si="33"/>
        <v>0</v>
      </c>
      <c r="BJ197" s="60">
        <f t="shared" si="32"/>
        <v>0</v>
      </c>
    </row>
    <row r="198" spans="1:62" s="17" customFormat="1" x14ac:dyDescent="0.3">
      <c r="A198" s="23">
        <v>196</v>
      </c>
      <c r="B198" s="7"/>
      <c r="C198" s="14"/>
      <c r="D198" s="14"/>
      <c r="E198" s="11"/>
      <c r="F198" s="14"/>
      <c r="G198" s="14"/>
      <c r="H198" s="11"/>
      <c r="I198" s="7"/>
      <c r="J198" s="14"/>
      <c r="K198" s="11"/>
      <c r="L198" s="7">
        <v>194</v>
      </c>
      <c r="M198" s="14"/>
      <c r="N198" s="11"/>
      <c r="O198" s="7">
        <v>194</v>
      </c>
      <c r="P198" s="14"/>
      <c r="Q198" s="11"/>
      <c r="R198" s="7">
        <v>194</v>
      </c>
      <c r="S198" s="14"/>
      <c r="T198" s="11"/>
      <c r="U198" s="14"/>
      <c r="V198" s="14"/>
      <c r="W198" s="11"/>
      <c r="X198" s="14"/>
      <c r="Y198" s="14"/>
      <c r="Z198" s="11"/>
      <c r="AA198" s="14"/>
      <c r="AB198" s="14"/>
      <c r="AC198" s="11"/>
      <c r="AD198" s="14"/>
      <c r="AE198" s="14"/>
      <c r="AF198" s="11" t="str">
        <f t="shared" si="34"/>
        <v/>
      </c>
      <c r="AG198" s="14"/>
      <c r="AH198" s="14"/>
      <c r="AI198" s="11" t="str">
        <f t="shared" si="35"/>
        <v/>
      </c>
      <c r="AJ198" s="14"/>
      <c r="AK198" s="11" t="str">
        <f t="shared" si="36"/>
        <v/>
      </c>
      <c r="AL198" s="11" t="str">
        <f t="shared" si="37"/>
        <v/>
      </c>
      <c r="AM198" s="11">
        <f t="shared" si="38"/>
        <v>0</v>
      </c>
      <c r="AN198" s="15" t="str">
        <f t="shared" si="39"/>
        <v/>
      </c>
      <c r="AO198" s="15"/>
      <c r="AP198" s="16"/>
      <c r="AQ198" s="21"/>
      <c r="BC198" s="60">
        <f t="shared" si="33"/>
        <v>0</v>
      </c>
      <c r="BJ198" s="60">
        <f t="shared" si="32"/>
        <v>0</v>
      </c>
    </row>
    <row r="199" spans="1:62" s="17" customFormat="1" x14ac:dyDescent="0.3">
      <c r="A199" s="23">
        <v>197</v>
      </c>
      <c r="B199" s="7"/>
      <c r="C199" s="14"/>
      <c r="D199" s="14"/>
      <c r="E199" s="11"/>
      <c r="F199" s="14"/>
      <c r="G199" s="14"/>
      <c r="H199" s="11"/>
      <c r="I199" s="7"/>
      <c r="J199" s="14"/>
      <c r="K199" s="11"/>
      <c r="L199" s="7">
        <v>195</v>
      </c>
      <c r="M199" s="14"/>
      <c r="N199" s="11"/>
      <c r="O199" s="7">
        <v>195</v>
      </c>
      <c r="P199" s="14"/>
      <c r="Q199" s="11"/>
      <c r="R199" s="7">
        <v>195</v>
      </c>
      <c r="S199" s="14"/>
      <c r="T199" s="11"/>
      <c r="U199" s="14"/>
      <c r="V199" s="14"/>
      <c r="W199" s="11"/>
      <c r="X199" s="14"/>
      <c r="Y199" s="14"/>
      <c r="Z199" s="11"/>
      <c r="AA199" s="14"/>
      <c r="AB199" s="14"/>
      <c r="AC199" s="11"/>
      <c r="AD199" s="14"/>
      <c r="AE199" s="14"/>
      <c r="AF199" s="11" t="str">
        <f t="shared" si="34"/>
        <v/>
      </c>
      <c r="AG199" s="14"/>
      <c r="AH199" s="14"/>
      <c r="AI199" s="11" t="str">
        <f t="shared" si="35"/>
        <v/>
      </c>
      <c r="AJ199" s="14"/>
      <c r="AK199" s="11" t="str">
        <f t="shared" si="36"/>
        <v/>
      </c>
      <c r="AL199" s="11" t="str">
        <f t="shared" si="37"/>
        <v/>
      </c>
      <c r="AM199" s="11">
        <f t="shared" si="38"/>
        <v>0</v>
      </c>
      <c r="AN199" s="15" t="str">
        <f t="shared" si="39"/>
        <v/>
      </c>
      <c r="AO199" s="15"/>
      <c r="AP199" s="16"/>
      <c r="AQ199" s="21"/>
      <c r="BC199" s="60">
        <f t="shared" si="33"/>
        <v>0</v>
      </c>
      <c r="BJ199" s="60">
        <f t="shared" si="32"/>
        <v>0</v>
      </c>
    </row>
    <row r="200" spans="1:62" s="17" customFormat="1" x14ac:dyDescent="0.3">
      <c r="A200" s="23">
        <v>198</v>
      </c>
      <c r="B200" s="7"/>
      <c r="C200" s="14"/>
      <c r="D200" s="14"/>
      <c r="E200" s="11"/>
      <c r="F200" s="14"/>
      <c r="G200" s="14"/>
      <c r="H200" s="11"/>
      <c r="I200" s="7"/>
      <c r="J200" s="14"/>
      <c r="K200" s="11"/>
      <c r="L200" s="7">
        <v>196</v>
      </c>
      <c r="M200" s="14"/>
      <c r="N200" s="11"/>
      <c r="O200" s="7">
        <v>196</v>
      </c>
      <c r="P200" s="14"/>
      <c r="Q200" s="11"/>
      <c r="R200" s="7">
        <v>196</v>
      </c>
      <c r="S200" s="14"/>
      <c r="T200" s="11"/>
      <c r="U200" s="14"/>
      <c r="V200" s="14"/>
      <c r="W200" s="11"/>
      <c r="X200" s="14"/>
      <c r="Y200" s="14"/>
      <c r="Z200" s="11"/>
      <c r="AA200" s="14"/>
      <c r="AB200" s="14"/>
      <c r="AC200" s="11"/>
      <c r="AD200" s="14"/>
      <c r="AE200" s="14"/>
      <c r="AF200" s="11" t="str">
        <f t="shared" si="34"/>
        <v/>
      </c>
      <c r="AG200" s="14"/>
      <c r="AH200" s="14"/>
      <c r="AI200" s="11" t="str">
        <f t="shared" si="35"/>
        <v/>
      </c>
      <c r="AJ200" s="14"/>
      <c r="AK200" s="11" t="str">
        <f t="shared" si="36"/>
        <v/>
      </c>
      <c r="AL200" s="11" t="str">
        <f t="shared" si="37"/>
        <v/>
      </c>
      <c r="AM200" s="11">
        <f t="shared" si="38"/>
        <v>0</v>
      </c>
      <c r="AN200" s="15" t="str">
        <f t="shared" si="39"/>
        <v/>
      </c>
      <c r="AO200" s="15"/>
      <c r="AP200" s="16"/>
      <c r="AQ200" s="21"/>
      <c r="BC200" s="60">
        <f t="shared" si="33"/>
        <v>0</v>
      </c>
      <c r="BJ200" s="60">
        <f t="shared" si="32"/>
        <v>0</v>
      </c>
    </row>
    <row r="201" spans="1:62" s="17" customFormat="1" x14ac:dyDescent="0.3">
      <c r="A201" s="23">
        <v>199</v>
      </c>
      <c r="B201" s="7"/>
      <c r="C201" s="14"/>
      <c r="D201" s="14"/>
      <c r="E201" s="11"/>
      <c r="F201" s="14"/>
      <c r="G201" s="14"/>
      <c r="H201" s="11"/>
      <c r="I201" s="7"/>
      <c r="J201" s="14"/>
      <c r="K201" s="11"/>
      <c r="L201" s="7">
        <v>197</v>
      </c>
      <c r="M201" s="14"/>
      <c r="N201" s="11"/>
      <c r="O201" s="7">
        <v>197</v>
      </c>
      <c r="P201" s="14"/>
      <c r="Q201" s="11"/>
      <c r="R201" s="7">
        <v>197</v>
      </c>
      <c r="S201" s="14"/>
      <c r="T201" s="11"/>
      <c r="U201" s="14"/>
      <c r="V201" s="14"/>
      <c r="W201" s="11"/>
      <c r="X201" s="14"/>
      <c r="Y201" s="14"/>
      <c r="Z201" s="11"/>
      <c r="AA201" s="14"/>
      <c r="AB201" s="14"/>
      <c r="AC201" s="11"/>
      <c r="AD201" s="14"/>
      <c r="AE201" s="14"/>
      <c r="AF201" s="11" t="str">
        <f t="shared" si="34"/>
        <v/>
      </c>
      <c r="AG201" s="14"/>
      <c r="AH201" s="14"/>
      <c r="AI201" s="11" t="str">
        <f t="shared" si="35"/>
        <v/>
      </c>
      <c r="AJ201" s="14"/>
      <c r="AK201" s="11" t="str">
        <f t="shared" si="36"/>
        <v/>
      </c>
      <c r="AL201" s="11" t="str">
        <f t="shared" si="37"/>
        <v/>
      </c>
      <c r="AM201" s="11">
        <f t="shared" si="38"/>
        <v>0</v>
      </c>
      <c r="AN201" s="15" t="str">
        <f t="shared" si="39"/>
        <v/>
      </c>
      <c r="AO201" s="15"/>
      <c r="AP201" s="16"/>
      <c r="AQ201" s="21"/>
      <c r="BC201" s="60">
        <f t="shared" si="33"/>
        <v>0</v>
      </c>
      <c r="BJ201" s="60">
        <f t="shared" si="32"/>
        <v>0</v>
      </c>
    </row>
    <row r="202" spans="1:62" s="17" customFormat="1" x14ac:dyDescent="0.3">
      <c r="A202" s="23">
        <v>200</v>
      </c>
      <c r="B202" s="7"/>
      <c r="C202" s="14"/>
      <c r="D202" s="14"/>
      <c r="E202" s="11"/>
      <c r="F202" s="14"/>
      <c r="G202" s="14"/>
      <c r="H202" s="11"/>
      <c r="I202" s="7"/>
      <c r="J202" s="14"/>
      <c r="K202" s="11"/>
      <c r="L202" s="7">
        <v>198</v>
      </c>
      <c r="M202" s="14"/>
      <c r="N202" s="11"/>
      <c r="O202" s="7">
        <v>198</v>
      </c>
      <c r="P202" s="14"/>
      <c r="Q202" s="11"/>
      <c r="R202" s="7">
        <v>198</v>
      </c>
      <c r="S202" s="14"/>
      <c r="T202" s="11"/>
      <c r="U202" s="14"/>
      <c r="V202" s="14"/>
      <c r="W202" s="11"/>
      <c r="X202" s="14"/>
      <c r="Y202" s="14"/>
      <c r="Z202" s="11"/>
      <c r="AA202" s="14"/>
      <c r="AB202" s="14"/>
      <c r="AC202" s="11"/>
      <c r="AD202" s="14"/>
      <c r="AE202" s="14"/>
      <c r="AF202" s="11" t="str">
        <f t="shared" si="34"/>
        <v/>
      </c>
      <c r="AG202" s="14"/>
      <c r="AH202" s="14"/>
      <c r="AI202" s="11" t="str">
        <f t="shared" si="35"/>
        <v/>
      </c>
      <c r="AJ202" s="14"/>
      <c r="AK202" s="11" t="str">
        <f t="shared" si="36"/>
        <v/>
      </c>
      <c r="AL202" s="11" t="str">
        <f t="shared" si="37"/>
        <v/>
      </c>
      <c r="AM202" s="11">
        <f t="shared" si="38"/>
        <v>0</v>
      </c>
      <c r="AN202" s="15" t="str">
        <f t="shared" si="39"/>
        <v/>
      </c>
      <c r="AO202" s="15"/>
      <c r="AP202" s="16"/>
      <c r="AQ202" s="21"/>
      <c r="BC202" s="60">
        <f t="shared" si="33"/>
        <v>0</v>
      </c>
      <c r="BJ202" s="60">
        <f t="shared" ref="BJ202:BJ265" si="40">BH202-BG202</f>
        <v>0</v>
      </c>
    </row>
    <row r="203" spans="1:62" s="17" customFormat="1" x14ac:dyDescent="0.3">
      <c r="A203" s="23">
        <v>201</v>
      </c>
      <c r="B203" s="7"/>
      <c r="C203" s="14"/>
      <c r="D203" s="14"/>
      <c r="E203" s="11"/>
      <c r="F203" s="14"/>
      <c r="G203" s="14"/>
      <c r="H203" s="11"/>
      <c r="I203" s="7"/>
      <c r="J203" s="14"/>
      <c r="K203" s="11"/>
      <c r="L203" s="7">
        <v>199</v>
      </c>
      <c r="M203" s="14"/>
      <c r="N203" s="11"/>
      <c r="O203" s="7">
        <v>199</v>
      </c>
      <c r="P203" s="14"/>
      <c r="Q203" s="11"/>
      <c r="R203" s="7">
        <v>199</v>
      </c>
      <c r="S203" s="14"/>
      <c r="T203" s="11"/>
      <c r="U203" s="14"/>
      <c r="V203" s="14"/>
      <c r="W203" s="11"/>
      <c r="X203" s="14"/>
      <c r="Y203" s="14"/>
      <c r="Z203" s="11"/>
      <c r="AA203" s="14"/>
      <c r="AB203" s="14"/>
      <c r="AC203" s="11"/>
      <c r="AD203" s="14"/>
      <c r="AE203" s="14"/>
      <c r="AF203" s="11" t="str">
        <f t="shared" si="34"/>
        <v/>
      </c>
      <c r="AG203" s="14"/>
      <c r="AH203" s="14"/>
      <c r="AI203" s="11" t="str">
        <f t="shared" si="35"/>
        <v/>
      </c>
      <c r="AJ203" s="14"/>
      <c r="AK203" s="11" t="str">
        <f t="shared" si="36"/>
        <v/>
      </c>
      <c r="AL203" s="11" t="str">
        <f t="shared" si="37"/>
        <v/>
      </c>
      <c r="AM203" s="11">
        <f t="shared" si="38"/>
        <v>0</v>
      </c>
      <c r="AN203" s="15" t="str">
        <f t="shared" si="39"/>
        <v/>
      </c>
      <c r="AO203" s="15"/>
      <c r="AP203" s="16"/>
      <c r="AQ203" s="21"/>
      <c r="BC203" s="60">
        <f t="shared" si="33"/>
        <v>0</v>
      </c>
      <c r="BJ203" s="60">
        <f t="shared" si="40"/>
        <v>0</v>
      </c>
    </row>
    <row r="204" spans="1:62" s="17" customFormat="1" x14ac:dyDescent="0.3">
      <c r="A204" s="23">
        <v>202</v>
      </c>
      <c r="B204" s="7"/>
      <c r="C204" s="14"/>
      <c r="D204" s="14"/>
      <c r="E204" s="11"/>
      <c r="F204" s="14"/>
      <c r="G204" s="14"/>
      <c r="H204" s="11"/>
      <c r="I204" s="7"/>
      <c r="J204" s="14"/>
      <c r="K204" s="11"/>
      <c r="L204" s="7">
        <v>200</v>
      </c>
      <c r="M204" s="14"/>
      <c r="N204" s="11"/>
      <c r="O204" s="7">
        <v>200</v>
      </c>
      <c r="P204" s="14"/>
      <c r="Q204" s="11"/>
      <c r="R204" s="7">
        <v>200</v>
      </c>
      <c r="S204" s="14"/>
      <c r="T204" s="11"/>
      <c r="U204" s="14"/>
      <c r="V204" s="14"/>
      <c r="W204" s="11"/>
      <c r="X204" s="14"/>
      <c r="Y204" s="14"/>
      <c r="Z204" s="11"/>
      <c r="AA204" s="14"/>
      <c r="AB204" s="14"/>
      <c r="AC204" s="11"/>
      <c r="AD204" s="14"/>
      <c r="AE204" s="14"/>
      <c r="AF204" s="11" t="str">
        <f t="shared" si="34"/>
        <v/>
      </c>
      <c r="AG204" s="14"/>
      <c r="AH204" s="14"/>
      <c r="AI204" s="11" t="str">
        <f t="shared" si="35"/>
        <v/>
      </c>
      <c r="AJ204" s="14"/>
      <c r="AK204" s="11" t="str">
        <f t="shared" si="36"/>
        <v/>
      </c>
      <c r="AL204" s="11" t="str">
        <f t="shared" si="37"/>
        <v/>
      </c>
      <c r="AM204" s="11">
        <f t="shared" si="38"/>
        <v>0</v>
      </c>
      <c r="AN204" s="15" t="str">
        <f t="shared" si="39"/>
        <v/>
      </c>
      <c r="AO204" s="15"/>
      <c r="AP204" s="16"/>
      <c r="AQ204" s="21"/>
      <c r="BC204" s="60">
        <f t="shared" si="33"/>
        <v>0</v>
      </c>
      <c r="BJ204" s="60">
        <f t="shared" si="40"/>
        <v>0</v>
      </c>
    </row>
    <row r="205" spans="1:62" s="17" customFormat="1" x14ac:dyDescent="0.3">
      <c r="A205" s="23">
        <v>203</v>
      </c>
      <c r="B205" s="7"/>
      <c r="C205" s="14"/>
      <c r="D205" s="14"/>
      <c r="E205" s="11"/>
      <c r="F205" s="14"/>
      <c r="G205" s="14"/>
      <c r="H205" s="11"/>
      <c r="I205" s="7"/>
      <c r="J205" s="14"/>
      <c r="K205" s="11"/>
      <c r="L205" s="7">
        <v>201</v>
      </c>
      <c r="M205" s="14"/>
      <c r="N205" s="11"/>
      <c r="O205" s="7">
        <v>201</v>
      </c>
      <c r="P205" s="14"/>
      <c r="Q205" s="11"/>
      <c r="R205" s="7">
        <v>201</v>
      </c>
      <c r="S205" s="14"/>
      <c r="T205" s="11"/>
      <c r="U205" s="14"/>
      <c r="V205" s="14"/>
      <c r="W205" s="11"/>
      <c r="X205" s="14"/>
      <c r="Y205" s="14"/>
      <c r="Z205" s="11"/>
      <c r="AA205" s="14"/>
      <c r="AB205" s="14"/>
      <c r="AC205" s="11"/>
      <c r="AD205" s="14"/>
      <c r="AE205" s="14"/>
      <c r="AF205" s="11" t="str">
        <f t="shared" si="34"/>
        <v/>
      </c>
      <c r="AG205" s="14"/>
      <c r="AH205" s="14"/>
      <c r="AI205" s="11" t="str">
        <f t="shared" si="35"/>
        <v/>
      </c>
      <c r="AJ205" s="14"/>
      <c r="AK205" s="11" t="str">
        <f t="shared" si="36"/>
        <v/>
      </c>
      <c r="AL205" s="11" t="str">
        <f t="shared" si="37"/>
        <v/>
      </c>
      <c r="AM205" s="11">
        <f t="shared" si="38"/>
        <v>0</v>
      </c>
      <c r="AN205" s="15" t="str">
        <f t="shared" si="39"/>
        <v/>
      </c>
      <c r="AO205" s="15"/>
      <c r="AP205" s="16"/>
      <c r="AQ205" s="21"/>
      <c r="BC205" s="60">
        <f t="shared" si="33"/>
        <v>0</v>
      </c>
      <c r="BJ205" s="60">
        <f t="shared" si="40"/>
        <v>0</v>
      </c>
    </row>
    <row r="206" spans="1:62" s="17" customFormat="1" x14ac:dyDescent="0.3">
      <c r="A206" s="23">
        <v>204</v>
      </c>
      <c r="B206" s="7"/>
      <c r="C206" s="14"/>
      <c r="D206" s="14"/>
      <c r="E206" s="11"/>
      <c r="F206" s="14"/>
      <c r="G206" s="14"/>
      <c r="H206" s="11"/>
      <c r="I206" s="7"/>
      <c r="J206" s="14"/>
      <c r="K206" s="11"/>
      <c r="L206" s="7">
        <v>202</v>
      </c>
      <c r="M206" s="14"/>
      <c r="N206" s="11"/>
      <c r="O206" s="7">
        <v>202</v>
      </c>
      <c r="P206" s="14"/>
      <c r="Q206" s="11"/>
      <c r="R206" s="7">
        <v>202</v>
      </c>
      <c r="S206" s="14"/>
      <c r="T206" s="11"/>
      <c r="U206" s="14"/>
      <c r="V206" s="14"/>
      <c r="W206" s="11"/>
      <c r="X206" s="14"/>
      <c r="Y206" s="14"/>
      <c r="Z206" s="11"/>
      <c r="AA206" s="14"/>
      <c r="AB206" s="14"/>
      <c r="AC206" s="11"/>
      <c r="AD206" s="14"/>
      <c r="AE206" s="14"/>
      <c r="AF206" s="11" t="str">
        <f t="shared" si="34"/>
        <v/>
      </c>
      <c r="AG206" s="14"/>
      <c r="AH206" s="14"/>
      <c r="AI206" s="11" t="str">
        <f t="shared" si="35"/>
        <v/>
      </c>
      <c r="AJ206" s="14"/>
      <c r="AK206" s="11" t="str">
        <f t="shared" si="36"/>
        <v/>
      </c>
      <c r="AL206" s="11" t="str">
        <f t="shared" si="37"/>
        <v/>
      </c>
      <c r="AM206" s="11">
        <f t="shared" si="38"/>
        <v>0</v>
      </c>
      <c r="AN206" s="15" t="str">
        <f t="shared" si="39"/>
        <v/>
      </c>
      <c r="AO206" s="15"/>
      <c r="AP206" s="16"/>
      <c r="AQ206" s="21"/>
      <c r="BC206" s="60">
        <f t="shared" si="33"/>
        <v>0</v>
      </c>
      <c r="BJ206" s="60">
        <f t="shared" si="40"/>
        <v>0</v>
      </c>
    </row>
    <row r="207" spans="1:62" s="17" customFormat="1" x14ac:dyDescent="0.3">
      <c r="A207" s="23">
        <v>205</v>
      </c>
      <c r="B207" s="7"/>
      <c r="C207" s="14"/>
      <c r="D207" s="14"/>
      <c r="E207" s="11"/>
      <c r="F207" s="14"/>
      <c r="G207" s="14"/>
      <c r="H207" s="11"/>
      <c r="I207" s="7"/>
      <c r="J207" s="14"/>
      <c r="K207" s="11"/>
      <c r="L207" s="7">
        <v>203</v>
      </c>
      <c r="M207" s="14"/>
      <c r="N207" s="11"/>
      <c r="O207" s="7">
        <v>203</v>
      </c>
      <c r="P207" s="14"/>
      <c r="Q207" s="11"/>
      <c r="R207" s="7">
        <v>203</v>
      </c>
      <c r="S207" s="14"/>
      <c r="T207" s="11"/>
      <c r="U207" s="14"/>
      <c r="V207" s="14"/>
      <c r="W207" s="11"/>
      <c r="X207" s="14"/>
      <c r="Y207" s="14"/>
      <c r="Z207" s="11"/>
      <c r="AA207" s="14"/>
      <c r="AB207" s="14"/>
      <c r="AC207" s="11"/>
      <c r="AD207" s="14"/>
      <c r="AE207" s="14"/>
      <c r="AF207" s="11" t="str">
        <f t="shared" si="34"/>
        <v/>
      </c>
      <c r="AG207" s="14"/>
      <c r="AH207" s="14"/>
      <c r="AI207" s="11" t="str">
        <f t="shared" si="35"/>
        <v/>
      </c>
      <c r="AJ207" s="14"/>
      <c r="AK207" s="11" t="str">
        <f t="shared" si="36"/>
        <v/>
      </c>
      <c r="AL207" s="11" t="str">
        <f t="shared" si="37"/>
        <v/>
      </c>
      <c r="AM207" s="11">
        <f t="shared" si="38"/>
        <v>0</v>
      </c>
      <c r="AN207" s="15" t="str">
        <f t="shared" si="39"/>
        <v/>
      </c>
      <c r="AO207" s="15"/>
      <c r="AP207" s="16"/>
      <c r="AQ207" s="21"/>
      <c r="BC207" s="60">
        <f t="shared" si="33"/>
        <v>0</v>
      </c>
      <c r="BJ207" s="60">
        <f t="shared" si="40"/>
        <v>0</v>
      </c>
    </row>
    <row r="208" spans="1:62" s="17" customFormat="1" x14ac:dyDescent="0.3">
      <c r="A208" s="23">
        <v>206</v>
      </c>
      <c r="B208" s="7"/>
      <c r="C208" s="14"/>
      <c r="D208" s="14"/>
      <c r="E208" s="11"/>
      <c r="F208" s="14"/>
      <c r="G208" s="14"/>
      <c r="H208" s="11"/>
      <c r="I208" s="7"/>
      <c r="J208" s="14"/>
      <c r="K208" s="11"/>
      <c r="L208" s="7">
        <v>204</v>
      </c>
      <c r="M208" s="14"/>
      <c r="N208" s="11"/>
      <c r="O208" s="7">
        <v>204</v>
      </c>
      <c r="P208" s="14"/>
      <c r="Q208" s="11"/>
      <c r="R208" s="7">
        <v>204</v>
      </c>
      <c r="S208" s="14"/>
      <c r="T208" s="11"/>
      <c r="U208" s="14"/>
      <c r="V208" s="14"/>
      <c r="W208" s="11"/>
      <c r="X208" s="14"/>
      <c r="Y208" s="14"/>
      <c r="Z208" s="11"/>
      <c r="AA208" s="14"/>
      <c r="AB208" s="14"/>
      <c r="AC208" s="11"/>
      <c r="AD208" s="14"/>
      <c r="AE208" s="14"/>
      <c r="AF208" s="11" t="str">
        <f t="shared" si="34"/>
        <v/>
      </c>
      <c r="AG208" s="14"/>
      <c r="AH208" s="14"/>
      <c r="AI208" s="11" t="str">
        <f t="shared" si="35"/>
        <v/>
      </c>
      <c r="AJ208" s="14"/>
      <c r="AK208" s="11" t="str">
        <f t="shared" si="36"/>
        <v/>
      </c>
      <c r="AL208" s="11" t="str">
        <f t="shared" si="37"/>
        <v/>
      </c>
      <c r="AM208" s="11">
        <f t="shared" si="38"/>
        <v>0</v>
      </c>
      <c r="AN208" s="15" t="str">
        <f t="shared" si="39"/>
        <v/>
      </c>
      <c r="AO208" s="15"/>
      <c r="AP208" s="16"/>
      <c r="AQ208" s="21"/>
      <c r="BC208" s="60">
        <f t="shared" si="33"/>
        <v>0</v>
      </c>
      <c r="BJ208" s="60">
        <f t="shared" si="40"/>
        <v>0</v>
      </c>
    </row>
    <row r="209" spans="1:62" s="17" customFormat="1" x14ac:dyDescent="0.3">
      <c r="A209" s="23">
        <v>207</v>
      </c>
      <c r="B209" s="7"/>
      <c r="C209" s="14"/>
      <c r="D209" s="14"/>
      <c r="E209" s="11"/>
      <c r="F209" s="14"/>
      <c r="G209" s="14"/>
      <c r="H209" s="11"/>
      <c r="I209" s="7"/>
      <c r="J209" s="14"/>
      <c r="K209" s="11"/>
      <c r="L209" s="7">
        <v>205</v>
      </c>
      <c r="M209" s="14"/>
      <c r="N209" s="11"/>
      <c r="O209" s="7">
        <v>205</v>
      </c>
      <c r="P209" s="14"/>
      <c r="Q209" s="11"/>
      <c r="R209" s="7">
        <v>205</v>
      </c>
      <c r="S209" s="14"/>
      <c r="T209" s="11"/>
      <c r="U209" s="14"/>
      <c r="V209" s="14"/>
      <c r="W209" s="11"/>
      <c r="X209" s="14"/>
      <c r="Y209" s="14"/>
      <c r="Z209" s="11"/>
      <c r="AA209" s="14"/>
      <c r="AB209" s="14"/>
      <c r="AC209" s="11"/>
      <c r="AD209" s="14"/>
      <c r="AE209" s="14"/>
      <c r="AF209" s="11" t="str">
        <f t="shared" si="34"/>
        <v/>
      </c>
      <c r="AG209" s="14"/>
      <c r="AH209" s="14"/>
      <c r="AI209" s="11" t="str">
        <f t="shared" si="35"/>
        <v/>
      </c>
      <c r="AJ209" s="14"/>
      <c r="AK209" s="11" t="str">
        <f t="shared" si="36"/>
        <v/>
      </c>
      <c r="AL209" s="11" t="str">
        <f t="shared" si="37"/>
        <v/>
      </c>
      <c r="AM209" s="11">
        <f t="shared" si="38"/>
        <v>0</v>
      </c>
      <c r="AN209" s="15" t="str">
        <f t="shared" si="39"/>
        <v/>
      </c>
      <c r="AO209" s="15"/>
      <c r="AP209" s="16"/>
      <c r="AQ209" s="21"/>
      <c r="BC209" s="60">
        <f t="shared" si="33"/>
        <v>0</v>
      </c>
      <c r="BJ209" s="60">
        <f t="shared" si="40"/>
        <v>0</v>
      </c>
    </row>
    <row r="210" spans="1:62" s="17" customFormat="1" x14ac:dyDescent="0.3">
      <c r="A210" s="23">
        <v>208</v>
      </c>
      <c r="B210" s="7"/>
      <c r="C210" s="14"/>
      <c r="D210" s="14"/>
      <c r="E210" s="11"/>
      <c r="F210" s="14"/>
      <c r="G210" s="14"/>
      <c r="H210" s="11"/>
      <c r="I210" s="7"/>
      <c r="J210" s="14"/>
      <c r="K210" s="11"/>
      <c r="L210" s="7">
        <v>206</v>
      </c>
      <c r="M210" s="14"/>
      <c r="N210" s="11"/>
      <c r="O210" s="7">
        <v>206</v>
      </c>
      <c r="P210" s="14"/>
      <c r="Q210" s="11"/>
      <c r="R210" s="7">
        <v>206</v>
      </c>
      <c r="S210" s="14"/>
      <c r="T210" s="11"/>
      <c r="U210" s="14"/>
      <c r="V210" s="14"/>
      <c r="W210" s="11"/>
      <c r="X210" s="14"/>
      <c r="Y210" s="14"/>
      <c r="Z210" s="11"/>
      <c r="AA210" s="14"/>
      <c r="AB210" s="14"/>
      <c r="AC210" s="11"/>
      <c r="AD210" s="14"/>
      <c r="AE210" s="14"/>
      <c r="AF210" s="11" t="str">
        <f t="shared" si="34"/>
        <v/>
      </c>
      <c r="AG210" s="14"/>
      <c r="AH210" s="14"/>
      <c r="AI210" s="11" t="str">
        <f t="shared" si="35"/>
        <v/>
      </c>
      <c r="AJ210" s="14"/>
      <c r="AK210" s="11" t="str">
        <f t="shared" si="36"/>
        <v/>
      </c>
      <c r="AL210" s="11" t="str">
        <f t="shared" si="37"/>
        <v/>
      </c>
      <c r="AM210" s="11">
        <f t="shared" si="38"/>
        <v>0</v>
      </c>
      <c r="AN210" s="15" t="str">
        <f t="shared" si="39"/>
        <v/>
      </c>
      <c r="AO210" s="15"/>
      <c r="AP210" s="16"/>
      <c r="AQ210" s="21"/>
      <c r="BC210" s="60">
        <f t="shared" si="33"/>
        <v>0</v>
      </c>
      <c r="BJ210" s="60">
        <f t="shared" si="40"/>
        <v>0</v>
      </c>
    </row>
    <row r="211" spans="1:62" s="17" customFormat="1" x14ac:dyDescent="0.3">
      <c r="A211" s="23">
        <v>209</v>
      </c>
      <c r="B211" s="7"/>
      <c r="C211" s="14"/>
      <c r="D211" s="14"/>
      <c r="E211" s="11"/>
      <c r="F211" s="14"/>
      <c r="G211" s="14"/>
      <c r="H211" s="11"/>
      <c r="I211" s="7"/>
      <c r="J211" s="14"/>
      <c r="K211" s="11"/>
      <c r="L211" s="7">
        <v>207</v>
      </c>
      <c r="M211" s="14"/>
      <c r="N211" s="11"/>
      <c r="O211" s="7">
        <v>207</v>
      </c>
      <c r="P211" s="14"/>
      <c r="Q211" s="11"/>
      <c r="R211" s="7">
        <v>207</v>
      </c>
      <c r="S211" s="14"/>
      <c r="T211" s="11"/>
      <c r="U211" s="14"/>
      <c r="V211" s="14"/>
      <c r="W211" s="11"/>
      <c r="X211" s="14"/>
      <c r="Y211" s="14"/>
      <c r="Z211" s="11"/>
      <c r="AA211" s="14"/>
      <c r="AB211" s="14"/>
      <c r="AC211" s="11"/>
      <c r="AD211" s="14"/>
      <c r="AE211" s="14"/>
      <c r="AF211" s="11" t="str">
        <f t="shared" si="34"/>
        <v/>
      </c>
      <c r="AG211" s="14"/>
      <c r="AH211" s="14"/>
      <c r="AI211" s="11" t="str">
        <f t="shared" si="35"/>
        <v/>
      </c>
      <c r="AJ211" s="14"/>
      <c r="AK211" s="11" t="str">
        <f t="shared" si="36"/>
        <v/>
      </c>
      <c r="AL211" s="11" t="str">
        <f t="shared" si="37"/>
        <v/>
      </c>
      <c r="AM211" s="11">
        <f t="shared" si="38"/>
        <v>0</v>
      </c>
      <c r="AN211" s="15" t="str">
        <f t="shared" si="39"/>
        <v/>
      </c>
      <c r="AO211" s="15"/>
      <c r="AP211" s="16"/>
      <c r="AQ211" s="21"/>
      <c r="BC211" s="60">
        <f t="shared" si="33"/>
        <v>0</v>
      </c>
      <c r="BJ211" s="60">
        <f t="shared" si="40"/>
        <v>0</v>
      </c>
    </row>
    <row r="212" spans="1:62" s="17" customFormat="1" x14ac:dyDescent="0.3">
      <c r="A212" s="23">
        <v>210</v>
      </c>
      <c r="B212" s="7"/>
      <c r="C212" s="14"/>
      <c r="D212" s="14"/>
      <c r="E212" s="11"/>
      <c r="F212" s="14"/>
      <c r="G212" s="14"/>
      <c r="H212" s="11"/>
      <c r="I212" s="7"/>
      <c r="J212" s="14"/>
      <c r="K212" s="11"/>
      <c r="L212" s="7">
        <v>208</v>
      </c>
      <c r="M212" s="14"/>
      <c r="N212" s="11"/>
      <c r="O212" s="7">
        <v>208</v>
      </c>
      <c r="P212" s="14"/>
      <c r="Q212" s="11"/>
      <c r="R212" s="7">
        <v>208</v>
      </c>
      <c r="S212" s="14"/>
      <c r="T212" s="11"/>
      <c r="U212" s="14"/>
      <c r="V212" s="14"/>
      <c r="W212" s="11"/>
      <c r="X212" s="14"/>
      <c r="Y212" s="14"/>
      <c r="Z212" s="11"/>
      <c r="AA212" s="14"/>
      <c r="AB212" s="14"/>
      <c r="AC212" s="11"/>
      <c r="AD212" s="14"/>
      <c r="AE212" s="14"/>
      <c r="AF212" s="11" t="str">
        <f t="shared" si="34"/>
        <v/>
      </c>
      <c r="AG212" s="14"/>
      <c r="AH212" s="14"/>
      <c r="AI212" s="11" t="str">
        <f t="shared" si="35"/>
        <v/>
      </c>
      <c r="AJ212" s="14"/>
      <c r="AK212" s="11" t="str">
        <f t="shared" si="36"/>
        <v/>
      </c>
      <c r="AL212" s="11" t="str">
        <f t="shared" si="37"/>
        <v/>
      </c>
      <c r="AM212" s="11">
        <f t="shared" si="38"/>
        <v>0</v>
      </c>
      <c r="AN212" s="15" t="str">
        <f t="shared" si="39"/>
        <v/>
      </c>
      <c r="AO212" s="15"/>
      <c r="AP212" s="16"/>
      <c r="AQ212" s="21"/>
      <c r="BC212" s="60">
        <f t="shared" si="33"/>
        <v>0</v>
      </c>
      <c r="BJ212" s="60">
        <f t="shared" si="40"/>
        <v>0</v>
      </c>
    </row>
    <row r="213" spans="1:62" s="17" customFormat="1" x14ac:dyDescent="0.3">
      <c r="A213" s="23">
        <v>211</v>
      </c>
      <c r="B213" s="7"/>
      <c r="C213" s="14"/>
      <c r="D213" s="14"/>
      <c r="E213" s="11"/>
      <c r="F213" s="14"/>
      <c r="G213" s="14"/>
      <c r="H213" s="11"/>
      <c r="I213" s="7"/>
      <c r="J213" s="14"/>
      <c r="K213" s="11"/>
      <c r="L213" s="7">
        <v>209</v>
      </c>
      <c r="M213" s="14"/>
      <c r="N213" s="11"/>
      <c r="O213" s="7">
        <v>209</v>
      </c>
      <c r="P213" s="14"/>
      <c r="Q213" s="11"/>
      <c r="R213" s="7">
        <v>209</v>
      </c>
      <c r="S213" s="14"/>
      <c r="T213" s="11"/>
      <c r="U213" s="14"/>
      <c r="V213" s="14"/>
      <c r="W213" s="11"/>
      <c r="X213" s="14"/>
      <c r="Y213" s="14"/>
      <c r="Z213" s="11"/>
      <c r="AA213" s="14"/>
      <c r="AB213" s="14"/>
      <c r="AC213" s="11"/>
      <c r="AD213" s="14"/>
      <c r="AE213" s="14"/>
      <c r="AF213" s="11" t="str">
        <f t="shared" si="34"/>
        <v/>
      </c>
      <c r="AG213" s="14"/>
      <c r="AH213" s="14"/>
      <c r="AI213" s="11" t="str">
        <f t="shared" si="35"/>
        <v/>
      </c>
      <c r="AJ213" s="14"/>
      <c r="AK213" s="11" t="str">
        <f t="shared" si="36"/>
        <v/>
      </c>
      <c r="AL213" s="11" t="str">
        <f t="shared" si="37"/>
        <v/>
      </c>
      <c r="AM213" s="11">
        <f t="shared" si="38"/>
        <v>0</v>
      </c>
      <c r="AN213" s="15" t="str">
        <f t="shared" si="39"/>
        <v/>
      </c>
      <c r="AO213" s="15"/>
      <c r="AP213" s="16"/>
      <c r="AQ213" s="21"/>
      <c r="BC213" s="60">
        <f t="shared" si="33"/>
        <v>0</v>
      </c>
      <c r="BJ213" s="60">
        <f t="shared" si="40"/>
        <v>0</v>
      </c>
    </row>
    <row r="214" spans="1:62" s="17" customFormat="1" x14ac:dyDescent="0.3">
      <c r="A214" s="23">
        <v>212</v>
      </c>
      <c r="B214" s="7"/>
      <c r="C214" s="14"/>
      <c r="D214" s="14"/>
      <c r="E214" s="11"/>
      <c r="F214" s="14"/>
      <c r="G214" s="14"/>
      <c r="H214" s="11"/>
      <c r="I214" s="7"/>
      <c r="J214" s="14"/>
      <c r="K214" s="11"/>
      <c r="L214" s="7">
        <v>210</v>
      </c>
      <c r="M214" s="14"/>
      <c r="N214" s="11"/>
      <c r="O214" s="7">
        <v>210</v>
      </c>
      <c r="P214" s="14"/>
      <c r="Q214" s="11"/>
      <c r="R214" s="7">
        <v>210</v>
      </c>
      <c r="S214" s="14"/>
      <c r="T214" s="11"/>
      <c r="U214" s="14"/>
      <c r="V214" s="14"/>
      <c r="W214" s="11"/>
      <c r="X214" s="14"/>
      <c r="Y214" s="14"/>
      <c r="Z214" s="11"/>
      <c r="AA214" s="14"/>
      <c r="AB214" s="14"/>
      <c r="AC214" s="11"/>
      <c r="AD214" s="14"/>
      <c r="AE214" s="14"/>
      <c r="AF214" s="11" t="str">
        <f t="shared" si="34"/>
        <v/>
      </c>
      <c r="AG214" s="14"/>
      <c r="AH214" s="14"/>
      <c r="AI214" s="11" t="str">
        <f t="shared" si="35"/>
        <v/>
      </c>
      <c r="AJ214" s="14"/>
      <c r="AK214" s="11" t="str">
        <f t="shared" si="36"/>
        <v/>
      </c>
      <c r="AL214" s="11" t="str">
        <f t="shared" si="37"/>
        <v/>
      </c>
      <c r="AM214" s="11">
        <f t="shared" si="38"/>
        <v>0</v>
      </c>
      <c r="AN214" s="15" t="str">
        <f t="shared" si="39"/>
        <v/>
      </c>
      <c r="AO214" s="15"/>
      <c r="AP214" s="16"/>
      <c r="AQ214" s="21"/>
      <c r="BC214" s="60">
        <f t="shared" si="33"/>
        <v>0</v>
      </c>
      <c r="BJ214" s="60">
        <f t="shared" si="40"/>
        <v>0</v>
      </c>
    </row>
    <row r="215" spans="1:62" s="17" customFormat="1" x14ac:dyDescent="0.3">
      <c r="A215" s="23">
        <v>213</v>
      </c>
      <c r="B215" s="7"/>
      <c r="C215" s="14"/>
      <c r="D215" s="14"/>
      <c r="E215" s="11"/>
      <c r="F215" s="14"/>
      <c r="G215" s="14"/>
      <c r="H215" s="11"/>
      <c r="I215" s="7"/>
      <c r="J215" s="14"/>
      <c r="K215" s="11"/>
      <c r="L215" s="7">
        <v>211</v>
      </c>
      <c r="M215" s="14"/>
      <c r="N215" s="11"/>
      <c r="O215" s="7">
        <v>211</v>
      </c>
      <c r="P215" s="14"/>
      <c r="Q215" s="11"/>
      <c r="R215" s="7">
        <v>211</v>
      </c>
      <c r="S215" s="14"/>
      <c r="T215" s="11"/>
      <c r="U215" s="14"/>
      <c r="V215" s="14"/>
      <c r="W215" s="11"/>
      <c r="X215" s="14"/>
      <c r="Y215" s="14"/>
      <c r="Z215" s="11"/>
      <c r="AA215" s="14"/>
      <c r="AB215" s="14"/>
      <c r="AC215" s="11"/>
      <c r="AD215" s="14"/>
      <c r="AE215" s="14"/>
      <c r="AF215" s="11" t="str">
        <f t="shared" si="34"/>
        <v/>
      </c>
      <c r="AG215" s="14"/>
      <c r="AH215" s="14"/>
      <c r="AI215" s="11" t="str">
        <f t="shared" si="35"/>
        <v/>
      </c>
      <c r="AJ215" s="14"/>
      <c r="AK215" s="11" t="str">
        <f t="shared" si="36"/>
        <v/>
      </c>
      <c r="AL215" s="11" t="str">
        <f t="shared" si="37"/>
        <v/>
      </c>
      <c r="AM215" s="11">
        <f t="shared" si="38"/>
        <v>0</v>
      </c>
      <c r="AN215" s="15" t="str">
        <f t="shared" si="39"/>
        <v/>
      </c>
      <c r="AO215" s="15"/>
      <c r="AP215" s="16"/>
      <c r="AQ215" s="21"/>
      <c r="BC215" s="60">
        <f t="shared" si="33"/>
        <v>0</v>
      </c>
      <c r="BJ215" s="60">
        <f t="shared" si="40"/>
        <v>0</v>
      </c>
    </row>
    <row r="216" spans="1:62" s="17" customFormat="1" x14ac:dyDescent="0.3">
      <c r="A216" s="23">
        <v>214</v>
      </c>
      <c r="B216" s="7"/>
      <c r="C216" s="14"/>
      <c r="D216" s="14"/>
      <c r="E216" s="11"/>
      <c r="F216" s="14"/>
      <c r="G216" s="14"/>
      <c r="H216" s="11"/>
      <c r="I216" s="7"/>
      <c r="J216" s="14"/>
      <c r="K216" s="11"/>
      <c r="L216" s="7">
        <v>212</v>
      </c>
      <c r="M216" s="14"/>
      <c r="N216" s="11"/>
      <c r="O216" s="7">
        <v>212</v>
      </c>
      <c r="P216" s="14"/>
      <c r="Q216" s="11"/>
      <c r="R216" s="7">
        <v>212</v>
      </c>
      <c r="S216" s="14"/>
      <c r="T216" s="11"/>
      <c r="U216" s="14"/>
      <c r="V216" s="14"/>
      <c r="W216" s="11"/>
      <c r="X216" s="14"/>
      <c r="Y216" s="14"/>
      <c r="Z216" s="11"/>
      <c r="AA216" s="14"/>
      <c r="AB216" s="14"/>
      <c r="AC216" s="11"/>
      <c r="AD216" s="14"/>
      <c r="AE216" s="14"/>
      <c r="AF216" s="11" t="str">
        <f t="shared" si="34"/>
        <v/>
      </c>
      <c r="AG216" s="14"/>
      <c r="AH216" s="14"/>
      <c r="AI216" s="11" t="str">
        <f t="shared" si="35"/>
        <v/>
      </c>
      <c r="AJ216" s="14"/>
      <c r="AK216" s="11" t="str">
        <f t="shared" si="36"/>
        <v/>
      </c>
      <c r="AL216" s="11" t="str">
        <f t="shared" si="37"/>
        <v/>
      </c>
      <c r="AM216" s="11">
        <f t="shared" si="38"/>
        <v>0</v>
      </c>
      <c r="AN216" s="15" t="str">
        <f t="shared" si="39"/>
        <v/>
      </c>
      <c r="AO216" s="15"/>
      <c r="AP216" s="16"/>
      <c r="AQ216" s="21"/>
      <c r="BC216" s="60">
        <f t="shared" si="33"/>
        <v>0</v>
      </c>
      <c r="BJ216" s="60">
        <f t="shared" si="40"/>
        <v>0</v>
      </c>
    </row>
    <row r="217" spans="1:62" s="17" customFormat="1" x14ac:dyDescent="0.3">
      <c r="A217" s="23">
        <v>215</v>
      </c>
      <c r="B217" s="7"/>
      <c r="C217" s="14"/>
      <c r="D217" s="14"/>
      <c r="E217" s="11"/>
      <c r="F217" s="14"/>
      <c r="G217" s="14"/>
      <c r="H217" s="11"/>
      <c r="I217" s="7"/>
      <c r="J217" s="14"/>
      <c r="K217" s="11"/>
      <c r="L217" s="7">
        <v>213</v>
      </c>
      <c r="M217" s="14"/>
      <c r="N217" s="11"/>
      <c r="O217" s="7">
        <v>213</v>
      </c>
      <c r="P217" s="14"/>
      <c r="Q217" s="11"/>
      <c r="R217" s="7">
        <v>213</v>
      </c>
      <c r="S217" s="14"/>
      <c r="T217" s="11"/>
      <c r="U217" s="14"/>
      <c r="V217" s="14"/>
      <c r="W217" s="11"/>
      <c r="X217" s="14"/>
      <c r="Y217" s="14"/>
      <c r="Z217" s="11"/>
      <c r="AA217" s="14"/>
      <c r="AB217" s="14"/>
      <c r="AC217" s="11"/>
      <c r="AD217" s="14"/>
      <c r="AE217" s="14"/>
      <c r="AF217" s="11" t="str">
        <f t="shared" si="34"/>
        <v/>
      </c>
      <c r="AG217" s="14"/>
      <c r="AH217" s="14"/>
      <c r="AI217" s="11" t="str">
        <f t="shared" si="35"/>
        <v/>
      </c>
      <c r="AJ217" s="14"/>
      <c r="AK217" s="11" t="str">
        <f t="shared" si="36"/>
        <v/>
      </c>
      <c r="AL217" s="11" t="str">
        <f t="shared" si="37"/>
        <v/>
      </c>
      <c r="AM217" s="11">
        <f t="shared" si="38"/>
        <v>0</v>
      </c>
      <c r="AN217" s="15" t="str">
        <f t="shared" si="39"/>
        <v/>
      </c>
      <c r="AO217" s="15"/>
      <c r="AP217" s="16"/>
      <c r="AQ217" s="21"/>
      <c r="BC217" s="60">
        <f t="shared" si="33"/>
        <v>0</v>
      </c>
      <c r="BJ217" s="60">
        <f t="shared" si="40"/>
        <v>0</v>
      </c>
    </row>
    <row r="218" spans="1:62" s="17" customFormat="1" x14ac:dyDescent="0.3">
      <c r="A218" s="23">
        <v>216</v>
      </c>
      <c r="B218" s="7"/>
      <c r="C218" s="14"/>
      <c r="D218" s="14"/>
      <c r="E218" s="11"/>
      <c r="F218" s="14"/>
      <c r="G218" s="14"/>
      <c r="H218" s="11"/>
      <c r="I218" s="7"/>
      <c r="J218" s="14"/>
      <c r="K218" s="11"/>
      <c r="L218" s="7">
        <v>214</v>
      </c>
      <c r="M218" s="14"/>
      <c r="N218" s="11"/>
      <c r="O218" s="7">
        <v>214</v>
      </c>
      <c r="P218" s="14"/>
      <c r="Q218" s="11"/>
      <c r="R218" s="7">
        <v>214</v>
      </c>
      <c r="S218" s="14"/>
      <c r="T218" s="11"/>
      <c r="U218" s="14"/>
      <c r="V218" s="14"/>
      <c r="W218" s="11"/>
      <c r="X218" s="14"/>
      <c r="Y218" s="14"/>
      <c r="Z218" s="11"/>
      <c r="AA218" s="14"/>
      <c r="AB218" s="14"/>
      <c r="AC218" s="11"/>
      <c r="AD218" s="14"/>
      <c r="AE218" s="14"/>
      <c r="AF218" s="11" t="str">
        <f t="shared" si="34"/>
        <v/>
      </c>
      <c r="AG218" s="14"/>
      <c r="AH218" s="14"/>
      <c r="AI218" s="11" t="str">
        <f t="shared" si="35"/>
        <v/>
      </c>
      <c r="AJ218" s="14"/>
      <c r="AK218" s="11" t="str">
        <f t="shared" si="36"/>
        <v/>
      </c>
      <c r="AL218" s="11" t="str">
        <f t="shared" si="37"/>
        <v/>
      </c>
      <c r="AM218" s="11">
        <f t="shared" si="38"/>
        <v>0</v>
      </c>
      <c r="AN218" s="15" t="str">
        <f t="shared" si="39"/>
        <v/>
      </c>
      <c r="AO218" s="15"/>
      <c r="AP218" s="16"/>
      <c r="AQ218" s="21"/>
      <c r="BC218" s="60">
        <f t="shared" si="33"/>
        <v>0</v>
      </c>
      <c r="BJ218" s="60">
        <f t="shared" si="40"/>
        <v>0</v>
      </c>
    </row>
    <row r="219" spans="1:62" s="17" customFormat="1" x14ac:dyDescent="0.3">
      <c r="A219" s="23">
        <v>217</v>
      </c>
      <c r="B219" s="7"/>
      <c r="C219" s="14"/>
      <c r="D219" s="14"/>
      <c r="E219" s="11"/>
      <c r="F219" s="14"/>
      <c r="G219" s="14"/>
      <c r="H219" s="11"/>
      <c r="I219" s="7"/>
      <c r="J219" s="14"/>
      <c r="K219" s="11"/>
      <c r="L219" s="7">
        <v>215</v>
      </c>
      <c r="M219" s="14"/>
      <c r="N219" s="11"/>
      <c r="O219" s="7">
        <v>215</v>
      </c>
      <c r="P219" s="14"/>
      <c r="Q219" s="11"/>
      <c r="R219" s="7">
        <v>215</v>
      </c>
      <c r="S219" s="14"/>
      <c r="T219" s="11"/>
      <c r="U219" s="14"/>
      <c r="V219" s="14"/>
      <c r="W219" s="11"/>
      <c r="X219" s="14"/>
      <c r="Y219" s="14"/>
      <c r="Z219" s="11"/>
      <c r="AA219" s="14"/>
      <c r="AB219" s="14"/>
      <c r="AC219" s="11"/>
      <c r="AD219" s="14"/>
      <c r="AE219" s="14"/>
      <c r="AF219" s="11" t="str">
        <f t="shared" si="34"/>
        <v/>
      </c>
      <c r="AG219" s="14"/>
      <c r="AH219" s="14"/>
      <c r="AI219" s="11" t="str">
        <f t="shared" si="35"/>
        <v/>
      </c>
      <c r="AJ219" s="14"/>
      <c r="AK219" s="11" t="str">
        <f t="shared" si="36"/>
        <v/>
      </c>
      <c r="AL219" s="11" t="str">
        <f t="shared" si="37"/>
        <v/>
      </c>
      <c r="AM219" s="11">
        <f t="shared" si="38"/>
        <v>0</v>
      </c>
      <c r="AN219" s="15" t="str">
        <f t="shared" si="39"/>
        <v/>
      </c>
      <c r="AO219" s="15"/>
      <c r="AP219" s="16"/>
      <c r="AQ219" s="21"/>
      <c r="BC219" s="60">
        <f t="shared" si="33"/>
        <v>0</v>
      </c>
      <c r="BJ219" s="60">
        <f t="shared" si="40"/>
        <v>0</v>
      </c>
    </row>
    <row r="220" spans="1:62" s="17" customFormat="1" x14ac:dyDescent="0.3">
      <c r="A220" s="23">
        <v>218</v>
      </c>
      <c r="B220" s="7"/>
      <c r="C220" s="14"/>
      <c r="D220" s="14"/>
      <c r="E220" s="11"/>
      <c r="F220" s="14"/>
      <c r="G220" s="14"/>
      <c r="H220" s="11"/>
      <c r="I220" s="7"/>
      <c r="J220" s="14"/>
      <c r="K220" s="11"/>
      <c r="L220" s="7">
        <v>216</v>
      </c>
      <c r="M220" s="14"/>
      <c r="N220" s="11"/>
      <c r="O220" s="7">
        <v>216</v>
      </c>
      <c r="P220" s="14"/>
      <c r="Q220" s="11"/>
      <c r="R220" s="7">
        <v>216</v>
      </c>
      <c r="S220" s="14"/>
      <c r="T220" s="11"/>
      <c r="U220" s="14"/>
      <c r="V220" s="14"/>
      <c r="W220" s="11"/>
      <c r="X220" s="14"/>
      <c r="Y220" s="14"/>
      <c r="Z220" s="11"/>
      <c r="AA220" s="14"/>
      <c r="AB220" s="14"/>
      <c r="AC220" s="11"/>
      <c r="AD220" s="14"/>
      <c r="AE220" s="14"/>
      <c r="AF220" s="11" t="str">
        <f t="shared" si="34"/>
        <v/>
      </c>
      <c r="AG220" s="14"/>
      <c r="AH220" s="14"/>
      <c r="AI220" s="11" t="str">
        <f t="shared" si="35"/>
        <v/>
      </c>
      <c r="AJ220" s="14"/>
      <c r="AK220" s="11" t="str">
        <f t="shared" si="36"/>
        <v/>
      </c>
      <c r="AL220" s="11" t="str">
        <f t="shared" si="37"/>
        <v/>
      </c>
      <c r="AM220" s="11">
        <f t="shared" si="38"/>
        <v>0</v>
      </c>
      <c r="AN220" s="15" t="str">
        <f t="shared" si="39"/>
        <v/>
      </c>
      <c r="AO220" s="15"/>
      <c r="AP220" s="16"/>
      <c r="AQ220" s="21"/>
      <c r="BC220" s="60">
        <f t="shared" si="33"/>
        <v>0</v>
      </c>
      <c r="BJ220" s="60">
        <f t="shared" si="40"/>
        <v>0</v>
      </c>
    </row>
    <row r="221" spans="1:62" s="17" customFormat="1" x14ac:dyDescent="0.3">
      <c r="A221" s="23">
        <v>219</v>
      </c>
      <c r="B221" s="7"/>
      <c r="C221" s="14"/>
      <c r="D221" s="14"/>
      <c r="E221" s="11"/>
      <c r="F221" s="14"/>
      <c r="G221" s="14"/>
      <c r="H221" s="11"/>
      <c r="I221" s="7"/>
      <c r="J221" s="14"/>
      <c r="K221" s="11"/>
      <c r="L221" s="7">
        <v>217</v>
      </c>
      <c r="M221" s="14"/>
      <c r="N221" s="11"/>
      <c r="O221" s="7">
        <v>217</v>
      </c>
      <c r="P221" s="14"/>
      <c r="Q221" s="11"/>
      <c r="R221" s="7">
        <v>217</v>
      </c>
      <c r="S221" s="14"/>
      <c r="T221" s="11"/>
      <c r="U221" s="14"/>
      <c r="V221" s="14"/>
      <c r="W221" s="11"/>
      <c r="X221" s="14"/>
      <c r="Y221" s="14"/>
      <c r="Z221" s="11"/>
      <c r="AA221" s="14"/>
      <c r="AB221" s="14"/>
      <c r="AC221" s="11"/>
      <c r="AD221" s="14"/>
      <c r="AE221" s="14"/>
      <c r="AF221" s="11" t="str">
        <f t="shared" si="34"/>
        <v/>
      </c>
      <c r="AG221" s="14"/>
      <c r="AH221" s="14"/>
      <c r="AI221" s="11" t="str">
        <f t="shared" si="35"/>
        <v/>
      </c>
      <c r="AJ221" s="14"/>
      <c r="AK221" s="11" t="str">
        <f t="shared" si="36"/>
        <v/>
      </c>
      <c r="AL221" s="11" t="str">
        <f t="shared" si="37"/>
        <v/>
      </c>
      <c r="AM221" s="11">
        <f t="shared" si="38"/>
        <v>0</v>
      </c>
      <c r="AN221" s="15" t="str">
        <f t="shared" si="39"/>
        <v/>
      </c>
      <c r="AO221" s="15"/>
      <c r="AP221" s="16"/>
      <c r="AQ221" s="21"/>
      <c r="BC221" s="60">
        <f t="shared" si="33"/>
        <v>0</v>
      </c>
      <c r="BJ221" s="60">
        <f t="shared" si="40"/>
        <v>0</v>
      </c>
    </row>
    <row r="222" spans="1:62" s="17" customFormat="1" x14ac:dyDescent="0.3">
      <c r="A222" s="23">
        <v>220</v>
      </c>
      <c r="B222" s="7"/>
      <c r="C222" s="14"/>
      <c r="D222" s="14"/>
      <c r="E222" s="11"/>
      <c r="F222" s="14"/>
      <c r="G222" s="14"/>
      <c r="H222" s="11"/>
      <c r="I222" s="7"/>
      <c r="J222" s="14"/>
      <c r="K222" s="11"/>
      <c r="L222" s="7">
        <v>218</v>
      </c>
      <c r="M222" s="14"/>
      <c r="N222" s="11"/>
      <c r="O222" s="7">
        <v>218</v>
      </c>
      <c r="P222" s="14"/>
      <c r="Q222" s="11"/>
      <c r="R222" s="7">
        <v>218</v>
      </c>
      <c r="S222" s="14"/>
      <c r="T222" s="11"/>
      <c r="U222" s="14"/>
      <c r="V222" s="14"/>
      <c r="W222" s="11"/>
      <c r="X222" s="14"/>
      <c r="Y222" s="14"/>
      <c r="Z222" s="11"/>
      <c r="AA222" s="14"/>
      <c r="AB222" s="14"/>
      <c r="AC222" s="11"/>
      <c r="AD222" s="14"/>
      <c r="AE222" s="14"/>
      <c r="AF222" s="11" t="str">
        <f t="shared" si="34"/>
        <v/>
      </c>
      <c r="AG222" s="14"/>
      <c r="AH222" s="14"/>
      <c r="AI222" s="11" t="str">
        <f t="shared" si="35"/>
        <v/>
      </c>
      <c r="AJ222" s="14"/>
      <c r="AK222" s="11" t="str">
        <f t="shared" si="36"/>
        <v/>
      </c>
      <c r="AL222" s="11" t="str">
        <f t="shared" si="37"/>
        <v/>
      </c>
      <c r="AM222" s="11">
        <f t="shared" si="38"/>
        <v>0</v>
      </c>
      <c r="AN222" s="15" t="str">
        <f t="shared" si="39"/>
        <v/>
      </c>
      <c r="AO222" s="15"/>
      <c r="AP222" s="16"/>
      <c r="AQ222" s="21"/>
      <c r="BC222" s="60">
        <f t="shared" si="33"/>
        <v>0</v>
      </c>
      <c r="BJ222" s="60">
        <f t="shared" si="40"/>
        <v>0</v>
      </c>
    </row>
    <row r="223" spans="1:62" s="17" customFormat="1" x14ac:dyDescent="0.3">
      <c r="A223" s="23">
        <v>221</v>
      </c>
      <c r="B223" s="7"/>
      <c r="C223" s="14"/>
      <c r="D223" s="14"/>
      <c r="E223" s="11"/>
      <c r="F223" s="14"/>
      <c r="G223" s="14"/>
      <c r="H223" s="11"/>
      <c r="I223" s="7"/>
      <c r="J223" s="14"/>
      <c r="K223" s="11"/>
      <c r="L223" s="7">
        <v>219</v>
      </c>
      <c r="M223" s="14"/>
      <c r="N223" s="11"/>
      <c r="O223" s="7">
        <v>219</v>
      </c>
      <c r="P223" s="14"/>
      <c r="Q223" s="11"/>
      <c r="R223" s="7">
        <v>219</v>
      </c>
      <c r="S223" s="14"/>
      <c r="T223" s="11"/>
      <c r="U223" s="14"/>
      <c r="V223" s="14"/>
      <c r="W223" s="11"/>
      <c r="X223" s="14"/>
      <c r="Y223" s="14"/>
      <c r="Z223" s="11"/>
      <c r="AA223" s="14"/>
      <c r="AB223" s="14"/>
      <c r="AC223" s="11"/>
      <c r="AD223" s="14"/>
      <c r="AE223" s="14"/>
      <c r="AF223" s="11" t="str">
        <f t="shared" si="34"/>
        <v/>
      </c>
      <c r="AG223" s="14"/>
      <c r="AH223" s="14"/>
      <c r="AI223" s="11" t="str">
        <f t="shared" si="35"/>
        <v/>
      </c>
      <c r="AJ223" s="14"/>
      <c r="AK223" s="11" t="str">
        <f t="shared" si="36"/>
        <v/>
      </c>
      <c r="AL223" s="11" t="str">
        <f t="shared" si="37"/>
        <v/>
      </c>
      <c r="AM223" s="11">
        <f t="shared" si="38"/>
        <v>0</v>
      </c>
      <c r="AN223" s="15" t="str">
        <f t="shared" si="39"/>
        <v/>
      </c>
      <c r="AO223" s="15"/>
      <c r="AP223" s="16"/>
      <c r="AQ223" s="21"/>
      <c r="BC223" s="60">
        <f t="shared" si="33"/>
        <v>0</v>
      </c>
      <c r="BJ223" s="60">
        <f t="shared" si="40"/>
        <v>0</v>
      </c>
    </row>
    <row r="224" spans="1:62" s="17" customFormat="1" x14ac:dyDescent="0.3">
      <c r="A224" s="23">
        <v>222</v>
      </c>
      <c r="B224" s="7"/>
      <c r="C224" s="14"/>
      <c r="D224" s="14"/>
      <c r="E224" s="11"/>
      <c r="F224" s="14"/>
      <c r="G224" s="14"/>
      <c r="H224" s="11"/>
      <c r="I224" s="7"/>
      <c r="J224" s="14"/>
      <c r="K224" s="11"/>
      <c r="L224" s="7">
        <v>220</v>
      </c>
      <c r="M224" s="14"/>
      <c r="N224" s="11"/>
      <c r="O224" s="7">
        <v>220</v>
      </c>
      <c r="P224" s="14"/>
      <c r="Q224" s="11"/>
      <c r="R224" s="7">
        <v>220</v>
      </c>
      <c r="S224" s="14"/>
      <c r="T224" s="11"/>
      <c r="U224" s="14"/>
      <c r="V224" s="14"/>
      <c r="W224" s="11"/>
      <c r="X224" s="14"/>
      <c r="Y224" s="14"/>
      <c r="Z224" s="11"/>
      <c r="AA224" s="14"/>
      <c r="AB224" s="14"/>
      <c r="AC224" s="11"/>
      <c r="AD224" s="14"/>
      <c r="AE224" s="14"/>
      <c r="AF224" s="11" t="str">
        <f t="shared" si="34"/>
        <v/>
      </c>
      <c r="AG224" s="14"/>
      <c r="AH224" s="14"/>
      <c r="AI224" s="11" t="str">
        <f t="shared" si="35"/>
        <v/>
      </c>
      <c r="AJ224" s="14"/>
      <c r="AK224" s="11" t="str">
        <f t="shared" si="36"/>
        <v/>
      </c>
      <c r="AL224" s="11" t="str">
        <f t="shared" si="37"/>
        <v/>
      </c>
      <c r="AM224" s="11">
        <f t="shared" si="38"/>
        <v>0</v>
      </c>
      <c r="AN224" s="15" t="str">
        <f t="shared" si="39"/>
        <v/>
      </c>
      <c r="AO224" s="15"/>
      <c r="AP224" s="16"/>
      <c r="AQ224" s="21"/>
      <c r="BC224" s="60">
        <f t="shared" si="33"/>
        <v>0</v>
      </c>
      <c r="BJ224" s="60">
        <f t="shared" si="40"/>
        <v>0</v>
      </c>
    </row>
    <row r="225" spans="1:62" s="17" customFormat="1" x14ac:dyDescent="0.3">
      <c r="A225" s="23">
        <v>223</v>
      </c>
      <c r="B225" s="7"/>
      <c r="C225" s="14"/>
      <c r="D225" s="14"/>
      <c r="E225" s="11"/>
      <c r="F225" s="14"/>
      <c r="G225" s="14"/>
      <c r="H225" s="11"/>
      <c r="I225" s="7"/>
      <c r="J225" s="14"/>
      <c r="K225" s="11"/>
      <c r="L225" s="7">
        <v>221</v>
      </c>
      <c r="M225" s="14"/>
      <c r="N225" s="11"/>
      <c r="O225" s="7">
        <v>221</v>
      </c>
      <c r="P225" s="14"/>
      <c r="Q225" s="11"/>
      <c r="R225" s="7">
        <v>221</v>
      </c>
      <c r="S225" s="14"/>
      <c r="T225" s="11"/>
      <c r="U225" s="14"/>
      <c r="V225" s="14"/>
      <c r="W225" s="11"/>
      <c r="X225" s="14"/>
      <c r="Y225" s="14"/>
      <c r="Z225" s="11"/>
      <c r="AA225" s="14"/>
      <c r="AB225" s="14"/>
      <c r="AC225" s="11"/>
      <c r="AD225" s="14"/>
      <c r="AE225" s="14"/>
      <c r="AF225" s="11" t="str">
        <f t="shared" si="34"/>
        <v/>
      </c>
      <c r="AG225" s="14"/>
      <c r="AH225" s="14"/>
      <c r="AI225" s="11" t="str">
        <f t="shared" si="35"/>
        <v/>
      </c>
      <c r="AJ225" s="14"/>
      <c r="AK225" s="11" t="str">
        <f t="shared" si="36"/>
        <v/>
      </c>
      <c r="AL225" s="11" t="str">
        <f t="shared" si="37"/>
        <v/>
      </c>
      <c r="AM225" s="11">
        <f t="shared" si="38"/>
        <v>0</v>
      </c>
      <c r="AN225" s="15" t="str">
        <f t="shared" si="39"/>
        <v/>
      </c>
      <c r="AO225" s="15"/>
      <c r="AP225" s="16"/>
      <c r="AQ225" s="21"/>
      <c r="BC225" s="60">
        <f t="shared" si="33"/>
        <v>0</v>
      </c>
      <c r="BJ225" s="60">
        <f t="shared" si="40"/>
        <v>0</v>
      </c>
    </row>
    <row r="226" spans="1:62" s="17" customFormat="1" x14ac:dyDescent="0.3">
      <c r="A226" s="23">
        <v>224</v>
      </c>
      <c r="B226" s="7"/>
      <c r="C226" s="14"/>
      <c r="D226" s="14"/>
      <c r="E226" s="11"/>
      <c r="F226" s="14"/>
      <c r="G226" s="14"/>
      <c r="H226" s="11"/>
      <c r="I226" s="7"/>
      <c r="J226" s="14"/>
      <c r="K226" s="11"/>
      <c r="L226" s="7">
        <v>222</v>
      </c>
      <c r="M226" s="14"/>
      <c r="N226" s="11"/>
      <c r="O226" s="7">
        <v>222</v>
      </c>
      <c r="P226" s="14"/>
      <c r="Q226" s="11"/>
      <c r="R226" s="7">
        <v>222</v>
      </c>
      <c r="S226" s="14"/>
      <c r="T226" s="11"/>
      <c r="U226" s="14"/>
      <c r="V226" s="14"/>
      <c r="W226" s="11"/>
      <c r="X226" s="14"/>
      <c r="Y226" s="14"/>
      <c r="Z226" s="11"/>
      <c r="AA226" s="14"/>
      <c r="AB226" s="14"/>
      <c r="AC226" s="11"/>
      <c r="AD226" s="14"/>
      <c r="AE226" s="14"/>
      <c r="AF226" s="11" t="str">
        <f t="shared" si="34"/>
        <v/>
      </c>
      <c r="AG226" s="14"/>
      <c r="AH226" s="14"/>
      <c r="AI226" s="11" t="str">
        <f t="shared" si="35"/>
        <v/>
      </c>
      <c r="AJ226" s="14"/>
      <c r="AK226" s="11" t="str">
        <f t="shared" si="36"/>
        <v/>
      </c>
      <c r="AL226" s="11" t="str">
        <f t="shared" si="37"/>
        <v/>
      </c>
      <c r="AM226" s="11">
        <f t="shared" si="38"/>
        <v>0</v>
      </c>
      <c r="AN226" s="15" t="str">
        <f t="shared" si="39"/>
        <v/>
      </c>
      <c r="AO226" s="15"/>
      <c r="AP226" s="16"/>
      <c r="AQ226" s="21"/>
      <c r="BC226" s="60">
        <f t="shared" si="33"/>
        <v>0</v>
      </c>
      <c r="BJ226" s="60">
        <f t="shared" si="40"/>
        <v>0</v>
      </c>
    </row>
    <row r="227" spans="1:62" s="17" customFormat="1" x14ac:dyDescent="0.3">
      <c r="A227" s="23">
        <v>225</v>
      </c>
      <c r="B227" s="7"/>
      <c r="C227" s="14"/>
      <c r="D227" s="14"/>
      <c r="E227" s="11"/>
      <c r="F227" s="14"/>
      <c r="G227" s="14"/>
      <c r="H227" s="11"/>
      <c r="I227" s="7"/>
      <c r="J227" s="14"/>
      <c r="K227" s="11"/>
      <c r="L227" s="7">
        <v>223</v>
      </c>
      <c r="M227" s="14"/>
      <c r="N227" s="11"/>
      <c r="O227" s="7">
        <v>223</v>
      </c>
      <c r="P227" s="14"/>
      <c r="Q227" s="11"/>
      <c r="R227" s="7">
        <v>223</v>
      </c>
      <c r="S227" s="14"/>
      <c r="T227" s="11"/>
      <c r="U227" s="14"/>
      <c r="V227" s="14"/>
      <c r="W227" s="11"/>
      <c r="X227" s="14"/>
      <c r="Y227" s="14"/>
      <c r="Z227" s="11"/>
      <c r="AA227" s="14"/>
      <c r="AB227" s="14"/>
      <c r="AC227" s="11"/>
      <c r="AD227" s="14"/>
      <c r="AE227" s="14"/>
      <c r="AF227" s="11" t="str">
        <f t="shared" si="34"/>
        <v/>
      </c>
      <c r="AG227" s="14"/>
      <c r="AH227" s="14"/>
      <c r="AI227" s="11" t="str">
        <f t="shared" si="35"/>
        <v/>
      </c>
      <c r="AJ227" s="14"/>
      <c r="AK227" s="11" t="str">
        <f t="shared" si="36"/>
        <v/>
      </c>
      <c r="AL227" s="11" t="str">
        <f t="shared" si="37"/>
        <v/>
      </c>
      <c r="AM227" s="11">
        <f t="shared" si="38"/>
        <v>0</v>
      </c>
      <c r="AN227" s="15" t="str">
        <f t="shared" si="39"/>
        <v/>
      </c>
      <c r="AO227" s="15"/>
      <c r="AP227" s="16"/>
      <c r="AQ227" s="21"/>
      <c r="BC227" s="60">
        <f t="shared" si="33"/>
        <v>0</v>
      </c>
      <c r="BJ227" s="60">
        <f t="shared" si="40"/>
        <v>0</v>
      </c>
    </row>
    <row r="228" spans="1:62" s="17" customFormat="1" x14ac:dyDescent="0.3">
      <c r="A228" s="23">
        <v>226</v>
      </c>
      <c r="B228" s="7"/>
      <c r="C228" s="14"/>
      <c r="D228" s="14"/>
      <c r="E228" s="11"/>
      <c r="F228" s="14"/>
      <c r="G228" s="14"/>
      <c r="H228" s="11"/>
      <c r="I228" s="7"/>
      <c r="J228" s="14"/>
      <c r="K228" s="11"/>
      <c r="L228" s="7">
        <v>224</v>
      </c>
      <c r="M228" s="14"/>
      <c r="N228" s="11"/>
      <c r="O228" s="7">
        <v>224</v>
      </c>
      <c r="P228" s="14"/>
      <c r="Q228" s="11"/>
      <c r="R228" s="7">
        <v>224</v>
      </c>
      <c r="S228" s="14"/>
      <c r="T228" s="11"/>
      <c r="U228" s="14"/>
      <c r="V228" s="14"/>
      <c r="W228" s="11"/>
      <c r="X228" s="14"/>
      <c r="Y228" s="14"/>
      <c r="Z228" s="11"/>
      <c r="AA228" s="14"/>
      <c r="AB228" s="14"/>
      <c r="AC228" s="11"/>
      <c r="AD228" s="14"/>
      <c r="AE228" s="14"/>
      <c r="AF228" s="11" t="str">
        <f t="shared" si="34"/>
        <v/>
      </c>
      <c r="AG228" s="14"/>
      <c r="AH228" s="14"/>
      <c r="AI228" s="11" t="str">
        <f t="shared" si="35"/>
        <v/>
      </c>
      <c r="AJ228" s="14"/>
      <c r="AK228" s="11" t="str">
        <f t="shared" si="36"/>
        <v/>
      </c>
      <c r="AL228" s="11" t="str">
        <f t="shared" si="37"/>
        <v/>
      </c>
      <c r="AM228" s="11">
        <f t="shared" si="38"/>
        <v>0</v>
      </c>
      <c r="AN228" s="15" t="str">
        <f t="shared" si="39"/>
        <v/>
      </c>
      <c r="AO228" s="15"/>
      <c r="AP228" s="16"/>
      <c r="AQ228" s="21"/>
      <c r="BC228" s="60">
        <f t="shared" si="33"/>
        <v>0</v>
      </c>
      <c r="BJ228" s="60">
        <f t="shared" si="40"/>
        <v>0</v>
      </c>
    </row>
    <row r="229" spans="1:62" s="17" customFormat="1" x14ac:dyDescent="0.3">
      <c r="A229" s="23">
        <v>227</v>
      </c>
      <c r="B229" s="7"/>
      <c r="C229" s="14"/>
      <c r="D229" s="14"/>
      <c r="E229" s="11"/>
      <c r="F229" s="14"/>
      <c r="G229" s="14"/>
      <c r="H229" s="11"/>
      <c r="I229" s="7"/>
      <c r="J229" s="14"/>
      <c r="K229" s="11"/>
      <c r="L229" s="7">
        <v>225</v>
      </c>
      <c r="M229" s="14"/>
      <c r="N229" s="11"/>
      <c r="O229" s="7">
        <v>225</v>
      </c>
      <c r="P229" s="14"/>
      <c r="Q229" s="11"/>
      <c r="R229" s="7">
        <v>225</v>
      </c>
      <c r="S229" s="14"/>
      <c r="T229" s="11"/>
      <c r="U229" s="14"/>
      <c r="V229" s="14"/>
      <c r="W229" s="11"/>
      <c r="X229" s="14"/>
      <c r="Y229" s="14"/>
      <c r="Z229" s="11"/>
      <c r="AA229" s="14"/>
      <c r="AB229" s="14"/>
      <c r="AC229" s="11"/>
      <c r="AD229" s="14"/>
      <c r="AE229" s="14"/>
      <c r="AF229" s="11" t="str">
        <f t="shared" si="34"/>
        <v/>
      </c>
      <c r="AG229" s="14"/>
      <c r="AH229" s="14"/>
      <c r="AI229" s="11" t="str">
        <f t="shared" si="35"/>
        <v/>
      </c>
      <c r="AJ229" s="14"/>
      <c r="AK229" s="11" t="str">
        <f t="shared" si="36"/>
        <v/>
      </c>
      <c r="AL229" s="11" t="str">
        <f t="shared" si="37"/>
        <v/>
      </c>
      <c r="AM229" s="11">
        <f t="shared" si="38"/>
        <v>0</v>
      </c>
      <c r="AN229" s="15" t="str">
        <f t="shared" si="39"/>
        <v/>
      </c>
      <c r="AO229" s="15"/>
      <c r="AP229" s="16"/>
      <c r="AQ229" s="21"/>
      <c r="BC229" s="60">
        <f t="shared" si="33"/>
        <v>0</v>
      </c>
      <c r="BJ229" s="60">
        <f t="shared" si="40"/>
        <v>0</v>
      </c>
    </row>
    <row r="230" spans="1:62" s="17" customFormat="1" x14ac:dyDescent="0.3">
      <c r="A230" s="23">
        <v>228</v>
      </c>
      <c r="B230" s="7"/>
      <c r="C230" s="14"/>
      <c r="D230" s="14"/>
      <c r="E230" s="11"/>
      <c r="F230" s="14"/>
      <c r="G230" s="14"/>
      <c r="H230" s="11"/>
      <c r="I230" s="7"/>
      <c r="J230" s="14"/>
      <c r="K230" s="11"/>
      <c r="L230" s="7">
        <v>226</v>
      </c>
      <c r="M230" s="14"/>
      <c r="N230" s="11"/>
      <c r="O230" s="7">
        <v>226</v>
      </c>
      <c r="P230" s="14"/>
      <c r="Q230" s="11"/>
      <c r="R230" s="7">
        <v>226</v>
      </c>
      <c r="S230" s="14"/>
      <c r="T230" s="11"/>
      <c r="U230" s="14"/>
      <c r="V230" s="14"/>
      <c r="W230" s="11"/>
      <c r="X230" s="14"/>
      <c r="Y230" s="14"/>
      <c r="Z230" s="11"/>
      <c r="AA230" s="14"/>
      <c r="AB230" s="14"/>
      <c r="AC230" s="11"/>
      <c r="AD230" s="14"/>
      <c r="AE230" s="14"/>
      <c r="AF230" s="11" t="str">
        <f t="shared" si="34"/>
        <v/>
      </c>
      <c r="AG230" s="14"/>
      <c r="AH230" s="14"/>
      <c r="AI230" s="11" t="str">
        <f t="shared" si="35"/>
        <v/>
      </c>
      <c r="AJ230" s="14"/>
      <c r="AK230" s="11" t="str">
        <f t="shared" si="36"/>
        <v/>
      </c>
      <c r="AL230" s="11" t="str">
        <f t="shared" si="37"/>
        <v/>
      </c>
      <c r="AM230" s="11">
        <f t="shared" si="38"/>
        <v>0</v>
      </c>
      <c r="AN230" s="15" t="str">
        <f t="shared" si="39"/>
        <v/>
      </c>
      <c r="AO230" s="15"/>
      <c r="AP230" s="16"/>
      <c r="AQ230" s="21"/>
      <c r="BC230" s="60">
        <f t="shared" si="33"/>
        <v>0</v>
      </c>
      <c r="BJ230" s="60">
        <f t="shared" si="40"/>
        <v>0</v>
      </c>
    </row>
    <row r="231" spans="1:62" s="17" customFormat="1" x14ac:dyDescent="0.3">
      <c r="A231" s="23">
        <v>229</v>
      </c>
      <c r="B231" s="7"/>
      <c r="C231" s="14"/>
      <c r="D231" s="14"/>
      <c r="E231" s="11"/>
      <c r="F231" s="14"/>
      <c r="G231" s="14"/>
      <c r="H231" s="11"/>
      <c r="I231" s="7"/>
      <c r="J231" s="14"/>
      <c r="K231" s="11"/>
      <c r="L231" s="7">
        <v>227</v>
      </c>
      <c r="M231" s="14"/>
      <c r="N231" s="11"/>
      <c r="O231" s="7">
        <v>227</v>
      </c>
      <c r="P231" s="14"/>
      <c r="Q231" s="11"/>
      <c r="R231" s="7">
        <v>227</v>
      </c>
      <c r="S231" s="14"/>
      <c r="T231" s="11"/>
      <c r="U231" s="14"/>
      <c r="V231" s="14"/>
      <c r="W231" s="11"/>
      <c r="X231" s="14"/>
      <c r="Y231" s="14"/>
      <c r="Z231" s="11"/>
      <c r="AA231" s="14"/>
      <c r="AB231" s="14"/>
      <c r="AC231" s="11"/>
      <c r="AD231" s="14"/>
      <c r="AE231" s="14"/>
      <c r="AF231" s="11" t="str">
        <f t="shared" si="34"/>
        <v/>
      </c>
      <c r="AG231" s="14"/>
      <c r="AH231" s="14"/>
      <c r="AI231" s="11" t="str">
        <f t="shared" si="35"/>
        <v/>
      </c>
      <c r="AJ231" s="14"/>
      <c r="AK231" s="11" t="str">
        <f t="shared" si="36"/>
        <v/>
      </c>
      <c r="AL231" s="11" t="str">
        <f t="shared" si="37"/>
        <v/>
      </c>
      <c r="AM231" s="11">
        <f t="shared" si="38"/>
        <v>0</v>
      </c>
      <c r="AN231" s="15" t="str">
        <f t="shared" si="39"/>
        <v/>
      </c>
      <c r="AO231" s="15"/>
      <c r="AP231" s="16"/>
      <c r="AQ231" s="21"/>
      <c r="BC231" s="60">
        <f t="shared" si="33"/>
        <v>0</v>
      </c>
      <c r="BJ231" s="60">
        <f t="shared" si="40"/>
        <v>0</v>
      </c>
    </row>
    <row r="232" spans="1:62" s="17" customFormat="1" x14ac:dyDescent="0.3">
      <c r="A232" s="23">
        <v>230</v>
      </c>
      <c r="B232" s="7"/>
      <c r="C232" s="14"/>
      <c r="D232" s="14"/>
      <c r="E232" s="11"/>
      <c r="F232" s="14"/>
      <c r="G232" s="14"/>
      <c r="H232" s="11"/>
      <c r="I232" s="7"/>
      <c r="J232" s="14"/>
      <c r="K232" s="11"/>
      <c r="L232" s="7">
        <v>228</v>
      </c>
      <c r="M232" s="14"/>
      <c r="N232" s="11"/>
      <c r="O232" s="7">
        <v>228</v>
      </c>
      <c r="P232" s="14"/>
      <c r="Q232" s="11"/>
      <c r="R232" s="7">
        <v>228</v>
      </c>
      <c r="S232" s="14"/>
      <c r="T232" s="11"/>
      <c r="U232" s="14"/>
      <c r="V232" s="14"/>
      <c r="W232" s="11"/>
      <c r="X232" s="14"/>
      <c r="Y232" s="14"/>
      <c r="Z232" s="11"/>
      <c r="AA232" s="14"/>
      <c r="AB232" s="14"/>
      <c r="AC232" s="11"/>
      <c r="AD232" s="14"/>
      <c r="AE232" s="14"/>
      <c r="AF232" s="11" t="str">
        <f t="shared" si="34"/>
        <v/>
      </c>
      <c r="AG232" s="14"/>
      <c r="AH232" s="14"/>
      <c r="AI232" s="11" t="str">
        <f t="shared" si="35"/>
        <v/>
      </c>
      <c r="AJ232" s="14"/>
      <c r="AK232" s="11" t="str">
        <f t="shared" si="36"/>
        <v/>
      </c>
      <c r="AL232" s="11" t="str">
        <f t="shared" si="37"/>
        <v/>
      </c>
      <c r="AM232" s="11">
        <f t="shared" si="38"/>
        <v>0</v>
      </c>
      <c r="AN232" s="15" t="str">
        <f t="shared" si="39"/>
        <v/>
      </c>
      <c r="AO232" s="15"/>
      <c r="AP232" s="16"/>
      <c r="AQ232" s="21"/>
      <c r="BC232" s="60">
        <f t="shared" si="33"/>
        <v>0</v>
      </c>
      <c r="BJ232" s="60">
        <f t="shared" si="40"/>
        <v>0</v>
      </c>
    </row>
    <row r="233" spans="1:62" s="17" customFormat="1" x14ac:dyDescent="0.3">
      <c r="A233" s="23">
        <v>231</v>
      </c>
      <c r="B233" s="7"/>
      <c r="C233" s="14"/>
      <c r="D233" s="14"/>
      <c r="E233" s="11"/>
      <c r="F233" s="14"/>
      <c r="G233" s="14"/>
      <c r="H233" s="11"/>
      <c r="I233" s="7"/>
      <c r="J233" s="14"/>
      <c r="K233" s="11"/>
      <c r="L233" s="7">
        <v>229</v>
      </c>
      <c r="M233" s="14"/>
      <c r="N233" s="11"/>
      <c r="O233" s="7">
        <v>229</v>
      </c>
      <c r="P233" s="14"/>
      <c r="Q233" s="11"/>
      <c r="R233" s="7">
        <v>229</v>
      </c>
      <c r="S233" s="14"/>
      <c r="T233" s="11"/>
      <c r="U233" s="14"/>
      <c r="V233" s="14"/>
      <c r="W233" s="11"/>
      <c r="X233" s="14"/>
      <c r="Y233" s="14"/>
      <c r="Z233" s="11"/>
      <c r="AA233" s="14"/>
      <c r="AB233" s="14"/>
      <c r="AC233" s="11"/>
      <c r="AD233" s="14"/>
      <c r="AE233" s="14"/>
      <c r="AF233" s="11" t="str">
        <f t="shared" si="34"/>
        <v/>
      </c>
      <c r="AG233" s="14"/>
      <c r="AH233" s="14"/>
      <c r="AI233" s="11" t="str">
        <f t="shared" si="35"/>
        <v/>
      </c>
      <c r="AJ233" s="14"/>
      <c r="AK233" s="11" t="str">
        <f t="shared" si="36"/>
        <v/>
      </c>
      <c r="AL233" s="11" t="str">
        <f t="shared" si="37"/>
        <v/>
      </c>
      <c r="AM233" s="11">
        <f t="shared" si="38"/>
        <v>0</v>
      </c>
      <c r="AN233" s="15" t="str">
        <f t="shared" si="39"/>
        <v/>
      </c>
      <c r="AO233" s="15"/>
      <c r="AP233" s="16"/>
      <c r="AQ233" s="21"/>
      <c r="BC233" s="60">
        <f t="shared" si="33"/>
        <v>0</v>
      </c>
      <c r="BJ233" s="60">
        <f t="shared" si="40"/>
        <v>0</v>
      </c>
    </row>
    <row r="234" spans="1:62" s="17" customFormat="1" x14ac:dyDescent="0.3">
      <c r="A234" s="23">
        <v>232</v>
      </c>
      <c r="B234" s="7"/>
      <c r="C234" s="14"/>
      <c r="D234" s="14"/>
      <c r="E234" s="11"/>
      <c r="F234" s="14"/>
      <c r="G234" s="14"/>
      <c r="H234" s="11"/>
      <c r="I234" s="7"/>
      <c r="J234" s="14"/>
      <c r="K234" s="11"/>
      <c r="L234" s="7">
        <v>230</v>
      </c>
      <c r="M234" s="14"/>
      <c r="N234" s="11"/>
      <c r="O234" s="7">
        <v>230</v>
      </c>
      <c r="P234" s="14"/>
      <c r="Q234" s="11"/>
      <c r="R234" s="7">
        <v>230</v>
      </c>
      <c r="S234" s="14"/>
      <c r="T234" s="11"/>
      <c r="U234" s="14"/>
      <c r="V234" s="14"/>
      <c r="W234" s="11"/>
      <c r="X234" s="14"/>
      <c r="Y234" s="14"/>
      <c r="Z234" s="11"/>
      <c r="AA234" s="14"/>
      <c r="AB234" s="14"/>
      <c r="AC234" s="11"/>
      <c r="AD234" s="14"/>
      <c r="AE234" s="14"/>
      <c r="AF234" s="11" t="str">
        <f t="shared" si="34"/>
        <v/>
      </c>
      <c r="AG234" s="14"/>
      <c r="AH234" s="14"/>
      <c r="AI234" s="11" t="str">
        <f t="shared" si="35"/>
        <v/>
      </c>
      <c r="AJ234" s="14"/>
      <c r="AK234" s="11" t="str">
        <f t="shared" si="36"/>
        <v/>
      </c>
      <c r="AL234" s="11" t="str">
        <f t="shared" si="37"/>
        <v/>
      </c>
      <c r="AM234" s="11">
        <f t="shared" si="38"/>
        <v>0</v>
      </c>
      <c r="AN234" s="15" t="str">
        <f t="shared" si="39"/>
        <v/>
      </c>
      <c r="AO234" s="15"/>
      <c r="AP234" s="16"/>
      <c r="AQ234" s="21"/>
      <c r="BC234" s="60">
        <f t="shared" si="33"/>
        <v>0</v>
      </c>
      <c r="BJ234" s="60">
        <f t="shared" si="40"/>
        <v>0</v>
      </c>
    </row>
    <row r="235" spans="1:62" s="17" customFormat="1" x14ac:dyDescent="0.3">
      <c r="A235" s="23">
        <v>233</v>
      </c>
      <c r="B235" s="7"/>
      <c r="C235" s="14"/>
      <c r="D235" s="14"/>
      <c r="E235" s="11"/>
      <c r="F235" s="14"/>
      <c r="G235" s="14"/>
      <c r="H235" s="11"/>
      <c r="I235" s="7"/>
      <c r="J235" s="14"/>
      <c r="K235" s="11"/>
      <c r="L235" s="7">
        <v>231</v>
      </c>
      <c r="M235" s="14"/>
      <c r="N235" s="11"/>
      <c r="O235" s="7">
        <v>231</v>
      </c>
      <c r="P235" s="14"/>
      <c r="Q235" s="11"/>
      <c r="R235" s="7">
        <v>231</v>
      </c>
      <c r="S235" s="14"/>
      <c r="T235" s="11"/>
      <c r="U235" s="14"/>
      <c r="V235" s="14"/>
      <c r="W235" s="11"/>
      <c r="X235" s="14"/>
      <c r="Y235" s="14"/>
      <c r="Z235" s="11"/>
      <c r="AA235" s="14"/>
      <c r="AB235" s="14"/>
      <c r="AC235" s="11"/>
      <c r="AD235" s="14"/>
      <c r="AE235" s="14"/>
      <c r="AF235" s="11" t="str">
        <f t="shared" si="34"/>
        <v/>
      </c>
      <c r="AG235" s="14"/>
      <c r="AH235" s="14"/>
      <c r="AI235" s="11" t="str">
        <f t="shared" si="35"/>
        <v/>
      </c>
      <c r="AJ235" s="14"/>
      <c r="AK235" s="11" t="str">
        <f t="shared" si="36"/>
        <v/>
      </c>
      <c r="AL235" s="11" t="str">
        <f t="shared" si="37"/>
        <v/>
      </c>
      <c r="AM235" s="11">
        <f t="shared" si="38"/>
        <v>0</v>
      </c>
      <c r="AN235" s="15" t="str">
        <f t="shared" si="39"/>
        <v/>
      </c>
      <c r="AO235" s="15"/>
      <c r="AP235" s="16"/>
      <c r="AQ235" s="21"/>
      <c r="BC235" s="60">
        <f t="shared" si="33"/>
        <v>0</v>
      </c>
      <c r="BJ235" s="60">
        <f t="shared" si="40"/>
        <v>0</v>
      </c>
    </row>
    <row r="236" spans="1:62" s="17" customFormat="1" x14ac:dyDescent="0.3">
      <c r="A236" s="23">
        <v>234</v>
      </c>
      <c r="B236" s="7"/>
      <c r="C236" s="14"/>
      <c r="D236" s="14"/>
      <c r="E236" s="11"/>
      <c r="F236" s="14"/>
      <c r="G236" s="14"/>
      <c r="H236" s="11"/>
      <c r="I236" s="7"/>
      <c r="J236" s="14"/>
      <c r="K236" s="11"/>
      <c r="L236" s="7">
        <v>232</v>
      </c>
      <c r="M236" s="14"/>
      <c r="N236" s="11"/>
      <c r="O236" s="7">
        <v>232</v>
      </c>
      <c r="P236" s="14"/>
      <c r="Q236" s="11"/>
      <c r="R236" s="7">
        <v>232</v>
      </c>
      <c r="S236" s="14"/>
      <c r="T236" s="11"/>
      <c r="U236" s="14"/>
      <c r="V236" s="14"/>
      <c r="W236" s="11"/>
      <c r="X236" s="14"/>
      <c r="Y236" s="14"/>
      <c r="Z236" s="11"/>
      <c r="AA236" s="14"/>
      <c r="AB236" s="14"/>
      <c r="AC236" s="11"/>
      <c r="AD236" s="14"/>
      <c r="AE236" s="14"/>
      <c r="AF236" s="11" t="str">
        <f t="shared" si="34"/>
        <v/>
      </c>
      <c r="AG236" s="14"/>
      <c r="AH236" s="14"/>
      <c r="AI236" s="11" t="str">
        <f t="shared" si="35"/>
        <v/>
      </c>
      <c r="AJ236" s="14"/>
      <c r="AK236" s="11" t="str">
        <f t="shared" si="36"/>
        <v/>
      </c>
      <c r="AL236" s="11" t="str">
        <f t="shared" si="37"/>
        <v/>
      </c>
      <c r="AM236" s="11">
        <f t="shared" si="38"/>
        <v>0</v>
      </c>
      <c r="AN236" s="15" t="str">
        <f t="shared" si="39"/>
        <v/>
      </c>
      <c r="AO236" s="15"/>
      <c r="AP236" s="16"/>
      <c r="AQ236" s="21"/>
      <c r="BC236" s="60">
        <f t="shared" si="33"/>
        <v>0</v>
      </c>
      <c r="BJ236" s="60">
        <f t="shared" si="40"/>
        <v>0</v>
      </c>
    </row>
    <row r="237" spans="1:62" s="17" customFormat="1" x14ac:dyDescent="0.3">
      <c r="A237" s="23">
        <v>235</v>
      </c>
      <c r="B237" s="7"/>
      <c r="C237" s="14"/>
      <c r="D237" s="14"/>
      <c r="E237" s="11"/>
      <c r="F237" s="14"/>
      <c r="G237" s="14"/>
      <c r="H237" s="11"/>
      <c r="I237" s="7"/>
      <c r="J237" s="14"/>
      <c r="K237" s="11"/>
      <c r="L237" s="7">
        <v>233</v>
      </c>
      <c r="M237" s="14"/>
      <c r="N237" s="11"/>
      <c r="O237" s="7">
        <v>233</v>
      </c>
      <c r="P237" s="14"/>
      <c r="Q237" s="11"/>
      <c r="R237" s="7">
        <v>233</v>
      </c>
      <c r="S237" s="14"/>
      <c r="T237" s="11"/>
      <c r="U237" s="14"/>
      <c r="V237" s="14"/>
      <c r="W237" s="11"/>
      <c r="X237" s="14"/>
      <c r="Y237" s="14"/>
      <c r="Z237" s="11"/>
      <c r="AA237" s="14"/>
      <c r="AB237" s="14"/>
      <c r="AC237" s="11"/>
      <c r="AD237" s="14"/>
      <c r="AE237" s="14"/>
      <c r="AF237" s="11" t="str">
        <f t="shared" si="34"/>
        <v/>
      </c>
      <c r="AG237" s="14"/>
      <c r="AH237" s="14"/>
      <c r="AI237" s="11" t="str">
        <f t="shared" si="35"/>
        <v/>
      </c>
      <c r="AJ237" s="14"/>
      <c r="AK237" s="11" t="str">
        <f t="shared" si="36"/>
        <v/>
      </c>
      <c r="AL237" s="11" t="str">
        <f t="shared" si="37"/>
        <v/>
      </c>
      <c r="AM237" s="11">
        <f t="shared" si="38"/>
        <v>0</v>
      </c>
      <c r="AN237" s="15" t="str">
        <f t="shared" si="39"/>
        <v/>
      </c>
      <c r="AO237" s="15"/>
      <c r="AP237" s="16"/>
      <c r="AQ237" s="21"/>
      <c r="BC237" s="60">
        <f t="shared" si="33"/>
        <v>0</v>
      </c>
      <c r="BJ237" s="60">
        <f t="shared" si="40"/>
        <v>0</v>
      </c>
    </row>
    <row r="238" spans="1:62" s="17" customFormat="1" x14ac:dyDescent="0.3">
      <c r="A238" s="23">
        <v>236</v>
      </c>
      <c r="B238" s="7"/>
      <c r="C238" s="14"/>
      <c r="D238" s="14"/>
      <c r="E238" s="11"/>
      <c r="F238" s="14"/>
      <c r="G238" s="14"/>
      <c r="H238" s="11"/>
      <c r="I238" s="7"/>
      <c r="J238" s="14"/>
      <c r="K238" s="11"/>
      <c r="L238" s="7">
        <v>234</v>
      </c>
      <c r="M238" s="14"/>
      <c r="N238" s="11"/>
      <c r="O238" s="7">
        <v>234</v>
      </c>
      <c r="P238" s="14"/>
      <c r="Q238" s="11"/>
      <c r="R238" s="7">
        <v>234</v>
      </c>
      <c r="S238" s="14"/>
      <c r="T238" s="11"/>
      <c r="U238" s="14"/>
      <c r="V238" s="14"/>
      <c r="W238" s="11"/>
      <c r="X238" s="14"/>
      <c r="Y238" s="14"/>
      <c r="Z238" s="11"/>
      <c r="AA238" s="14"/>
      <c r="AB238" s="14"/>
      <c r="AC238" s="11"/>
      <c r="AD238" s="14"/>
      <c r="AE238" s="14"/>
      <c r="AF238" s="11" t="str">
        <f t="shared" si="34"/>
        <v/>
      </c>
      <c r="AG238" s="14"/>
      <c r="AH238" s="14"/>
      <c r="AI238" s="11" t="str">
        <f t="shared" si="35"/>
        <v/>
      </c>
      <c r="AJ238" s="14"/>
      <c r="AK238" s="11" t="str">
        <f t="shared" si="36"/>
        <v/>
      </c>
      <c r="AL238" s="11" t="str">
        <f t="shared" si="37"/>
        <v/>
      </c>
      <c r="AM238" s="11">
        <f t="shared" si="38"/>
        <v>0</v>
      </c>
      <c r="AN238" s="15" t="str">
        <f t="shared" si="39"/>
        <v/>
      </c>
      <c r="AO238" s="15"/>
      <c r="AP238" s="16"/>
      <c r="AQ238" s="21"/>
      <c r="BC238" s="60">
        <f t="shared" si="33"/>
        <v>0</v>
      </c>
      <c r="BJ238" s="60">
        <f t="shared" si="40"/>
        <v>0</v>
      </c>
    </row>
    <row r="239" spans="1:62" s="17" customFormat="1" x14ac:dyDescent="0.3">
      <c r="A239" s="23">
        <v>237</v>
      </c>
      <c r="B239" s="7"/>
      <c r="C239" s="14"/>
      <c r="D239" s="14"/>
      <c r="E239" s="11"/>
      <c r="F239" s="14"/>
      <c r="G239" s="14"/>
      <c r="H239" s="11"/>
      <c r="I239" s="7"/>
      <c r="J239" s="14"/>
      <c r="K239" s="11"/>
      <c r="L239" s="7">
        <v>235</v>
      </c>
      <c r="M239" s="14"/>
      <c r="N239" s="11"/>
      <c r="O239" s="7">
        <v>235</v>
      </c>
      <c r="P239" s="14"/>
      <c r="Q239" s="11"/>
      <c r="R239" s="7">
        <v>235</v>
      </c>
      <c r="S239" s="14"/>
      <c r="T239" s="11"/>
      <c r="U239" s="14"/>
      <c r="V239" s="14"/>
      <c r="W239" s="11"/>
      <c r="X239" s="14"/>
      <c r="Y239" s="14"/>
      <c r="Z239" s="11"/>
      <c r="AA239" s="14"/>
      <c r="AB239" s="14"/>
      <c r="AC239" s="11"/>
      <c r="AD239" s="14"/>
      <c r="AE239" s="14"/>
      <c r="AF239" s="11" t="str">
        <f t="shared" si="34"/>
        <v/>
      </c>
      <c r="AG239" s="14"/>
      <c r="AH239" s="14"/>
      <c r="AI239" s="11" t="str">
        <f t="shared" si="35"/>
        <v/>
      </c>
      <c r="AJ239" s="14"/>
      <c r="AK239" s="11" t="str">
        <f t="shared" si="36"/>
        <v/>
      </c>
      <c r="AL239" s="11" t="str">
        <f t="shared" si="37"/>
        <v/>
      </c>
      <c r="AM239" s="11">
        <f t="shared" si="38"/>
        <v>0</v>
      </c>
      <c r="AN239" s="15" t="str">
        <f t="shared" si="39"/>
        <v/>
      </c>
      <c r="AO239" s="15"/>
      <c r="AP239" s="16"/>
      <c r="AQ239" s="21"/>
      <c r="BC239" s="60">
        <f t="shared" si="33"/>
        <v>0</v>
      </c>
      <c r="BJ239" s="60">
        <f t="shared" si="40"/>
        <v>0</v>
      </c>
    </row>
    <row r="240" spans="1:62" s="17" customFormat="1" x14ac:dyDescent="0.3">
      <c r="A240" s="23">
        <v>238</v>
      </c>
      <c r="B240" s="7"/>
      <c r="C240" s="14"/>
      <c r="D240" s="14"/>
      <c r="E240" s="11"/>
      <c r="F240" s="14"/>
      <c r="G240" s="14"/>
      <c r="H240" s="11"/>
      <c r="I240" s="7"/>
      <c r="J240" s="14"/>
      <c r="K240" s="11"/>
      <c r="L240" s="7">
        <v>236</v>
      </c>
      <c r="M240" s="14"/>
      <c r="N240" s="11"/>
      <c r="O240" s="7">
        <v>236</v>
      </c>
      <c r="P240" s="14"/>
      <c r="Q240" s="11"/>
      <c r="R240" s="7">
        <v>236</v>
      </c>
      <c r="S240" s="14"/>
      <c r="T240" s="11"/>
      <c r="U240" s="14"/>
      <c r="V240" s="14"/>
      <c r="W240" s="11"/>
      <c r="X240" s="14"/>
      <c r="Y240" s="14"/>
      <c r="Z240" s="11"/>
      <c r="AA240" s="14"/>
      <c r="AB240" s="14"/>
      <c r="AC240" s="11"/>
      <c r="AD240" s="14"/>
      <c r="AE240" s="14"/>
      <c r="AF240" s="11" t="str">
        <f t="shared" si="34"/>
        <v/>
      </c>
      <c r="AG240" s="14"/>
      <c r="AH240" s="14"/>
      <c r="AI240" s="11" t="str">
        <f t="shared" si="35"/>
        <v/>
      </c>
      <c r="AJ240" s="14"/>
      <c r="AK240" s="11" t="str">
        <f t="shared" si="36"/>
        <v/>
      </c>
      <c r="AL240" s="11" t="str">
        <f t="shared" si="37"/>
        <v/>
      </c>
      <c r="AM240" s="11">
        <f t="shared" si="38"/>
        <v>0</v>
      </c>
      <c r="AN240" s="15" t="str">
        <f t="shared" si="39"/>
        <v/>
      </c>
      <c r="AO240" s="15"/>
      <c r="AP240" s="16"/>
      <c r="AQ240" s="21"/>
      <c r="BC240" s="60">
        <f t="shared" si="33"/>
        <v>0</v>
      </c>
      <c r="BJ240" s="60">
        <f t="shared" si="40"/>
        <v>0</v>
      </c>
    </row>
    <row r="241" spans="1:62" s="17" customFormat="1" x14ac:dyDescent="0.3">
      <c r="A241" s="23">
        <v>239</v>
      </c>
      <c r="B241" s="7"/>
      <c r="C241" s="14"/>
      <c r="D241" s="14"/>
      <c r="E241" s="11"/>
      <c r="F241" s="14"/>
      <c r="G241" s="14"/>
      <c r="H241" s="11"/>
      <c r="I241" s="7"/>
      <c r="J241" s="14"/>
      <c r="K241" s="11"/>
      <c r="L241" s="7">
        <v>237</v>
      </c>
      <c r="M241" s="14"/>
      <c r="N241" s="11"/>
      <c r="O241" s="7">
        <v>237</v>
      </c>
      <c r="P241" s="14"/>
      <c r="Q241" s="11"/>
      <c r="R241" s="7">
        <v>237</v>
      </c>
      <c r="S241" s="14"/>
      <c r="T241" s="11"/>
      <c r="U241" s="14"/>
      <c r="V241" s="14"/>
      <c r="W241" s="11"/>
      <c r="X241" s="14"/>
      <c r="Y241" s="14"/>
      <c r="Z241" s="11"/>
      <c r="AA241" s="14"/>
      <c r="AB241" s="14"/>
      <c r="AC241" s="11"/>
      <c r="AD241" s="14"/>
      <c r="AE241" s="14"/>
      <c r="AF241" s="11" t="str">
        <f t="shared" si="34"/>
        <v/>
      </c>
      <c r="AG241" s="14"/>
      <c r="AH241" s="14"/>
      <c r="AI241" s="11" t="str">
        <f t="shared" si="35"/>
        <v/>
      </c>
      <c r="AJ241" s="14"/>
      <c r="AK241" s="11" t="str">
        <f t="shared" si="36"/>
        <v/>
      </c>
      <c r="AL241" s="11" t="str">
        <f t="shared" si="37"/>
        <v/>
      </c>
      <c r="AM241" s="11">
        <f t="shared" si="38"/>
        <v>0</v>
      </c>
      <c r="AN241" s="15" t="str">
        <f t="shared" si="39"/>
        <v/>
      </c>
      <c r="AO241" s="15"/>
      <c r="AP241" s="16"/>
      <c r="AQ241" s="21"/>
      <c r="BC241" s="60">
        <f t="shared" si="33"/>
        <v>0</v>
      </c>
      <c r="BJ241" s="60">
        <f t="shared" si="40"/>
        <v>0</v>
      </c>
    </row>
    <row r="242" spans="1:62" s="17" customFormat="1" x14ac:dyDescent="0.3">
      <c r="A242" s="23">
        <v>240</v>
      </c>
      <c r="B242" s="7"/>
      <c r="C242" s="14"/>
      <c r="D242" s="14"/>
      <c r="E242" s="11"/>
      <c r="F242" s="14"/>
      <c r="G242" s="14"/>
      <c r="H242" s="11"/>
      <c r="I242" s="7"/>
      <c r="J242" s="14"/>
      <c r="K242" s="11"/>
      <c r="L242" s="7">
        <v>238</v>
      </c>
      <c r="M242" s="14"/>
      <c r="N242" s="11"/>
      <c r="O242" s="7">
        <v>238</v>
      </c>
      <c r="P242" s="14"/>
      <c r="Q242" s="11"/>
      <c r="R242" s="7">
        <v>238</v>
      </c>
      <c r="S242" s="14"/>
      <c r="T242" s="11"/>
      <c r="U242" s="14"/>
      <c r="V242" s="14"/>
      <c r="W242" s="11"/>
      <c r="X242" s="14"/>
      <c r="Y242" s="14"/>
      <c r="Z242" s="11"/>
      <c r="AA242" s="14"/>
      <c r="AB242" s="14"/>
      <c r="AC242" s="11"/>
      <c r="AD242" s="14"/>
      <c r="AE242" s="14"/>
      <c r="AF242" s="11" t="str">
        <f t="shared" si="34"/>
        <v/>
      </c>
      <c r="AG242" s="14"/>
      <c r="AH242" s="14"/>
      <c r="AI242" s="11" t="str">
        <f t="shared" si="35"/>
        <v/>
      </c>
      <c r="AJ242" s="14"/>
      <c r="AK242" s="11" t="str">
        <f t="shared" si="36"/>
        <v/>
      </c>
      <c r="AL242" s="11" t="str">
        <f t="shared" si="37"/>
        <v/>
      </c>
      <c r="AM242" s="11">
        <f t="shared" si="38"/>
        <v>0</v>
      </c>
      <c r="AN242" s="15" t="str">
        <f t="shared" si="39"/>
        <v/>
      </c>
      <c r="AO242" s="15"/>
      <c r="AP242" s="16"/>
      <c r="AQ242" s="21"/>
      <c r="BC242" s="60">
        <f t="shared" si="33"/>
        <v>0</v>
      </c>
      <c r="BJ242" s="60">
        <f t="shared" si="40"/>
        <v>0</v>
      </c>
    </row>
    <row r="243" spans="1:62" s="17" customFormat="1" x14ac:dyDescent="0.3">
      <c r="A243" s="23">
        <v>241</v>
      </c>
      <c r="B243" s="7"/>
      <c r="C243" s="14"/>
      <c r="D243" s="14"/>
      <c r="E243" s="11"/>
      <c r="F243" s="14"/>
      <c r="G243" s="14"/>
      <c r="H243" s="11"/>
      <c r="I243" s="7"/>
      <c r="J243" s="14"/>
      <c r="K243" s="11"/>
      <c r="L243" s="7">
        <v>239</v>
      </c>
      <c r="M243" s="14"/>
      <c r="N243" s="11"/>
      <c r="O243" s="7">
        <v>239</v>
      </c>
      <c r="P243" s="14"/>
      <c r="Q243" s="11"/>
      <c r="R243" s="7">
        <v>239</v>
      </c>
      <c r="S243" s="14"/>
      <c r="T243" s="11"/>
      <c r="U243" s="14"/>
      <c r="V243" s="14"/>
      <c r="W243" s="11"/>
      <c r="X243" s="14"/>
      <c r="Y243" s="14"/>
      <c r="Z243" s="11"/>
      <c r="AA243" s="14"/>
      <c r="AB243" s="14"/>
      <c r="AC243" s="11"/>
      <c r="AD243" s="14"/>
      <c r="AE243" s="14"/>
      <c r="AF243" s="11" t="str">
        <f t="shared" si="34"/>
        <v/>
      </c>
      <c r="AG243" s="14"/>
      <c r="AH243" s="14"/>
      <c r="AI243" s="11" t="str">
        <f t="shared" si="35"/>
        <v/>
      </c>
      <c r="AJ243" s="14"/>
      <c r="AK243" s="11" t="str">
        <f t="shared" si="36"/>
        <v/>
      </c>
      <c r="AL243" s="11" t="str">
        <f t="shared" si="37"/>
        <v/>
      </c>
      <c r="AM243" s="11">
        <f t="shared" si="38"/>
        <v>0</v>
      </c>
      <c r="AN243" s="15" t="str">
        <f t="shared" si="39"/>
        <v/>
      </c>
      <c r="AO243" s="15"/>
      <c r="AP243" s="16"/>
      <c r="AQ243" s="21"/>
      <c r="BC243" s="60">
        <f t="shared" si="33"/>
        <v>0</v>
      </c>
      <c r="BJ243" s="60">
        <f t="shared" si="40"/>
        <v>0</v>
      </c>
    </row>
    <row r="244" spans="1:62" s="17" customFormat="1" x14ac:dyDescent="0.3">
      <c r="A244" s="23">
        <v>242</v>
      </c>
      <c r="B244" s="7"/>
      <c r="C244" s="14"/>
      <c r="D244" s="14"/>
      <c r="E244" s="11"/>
      <c r="F244" s="14"/>
      <c r="G244" s="14"/>
      <c r="H244" s="11"/>
      <c r="I244" s="7"/>
      <c r="J244" s="14"/>
      <c r="K244" s="11"/>
      <c r="L244" s="7">
        <v>240</v>
      </c>
      <c r="M244" s="14"/>
      <c r="N244" s="11"/>
      <c r="O244" s="7">
        <v>240</v>
      </c>
      <c r="P244" s="14"/>
      <c r="Q244" s="11"/>
      <c r="R244" s="7">
        <v>240</v>
      </c>
      <c r="S244" s="14"/>
      <c r="T244" s="11"/>
      <c r="U244" s="14"/>
      <c r="V244" s="14"/>
      <c r="W244" s="11"/>
      <c r="X244" s="14"/>
      <c r="Y244" s="14"/>
      <c r="Z244" s="11"/>
      <c r="AA244" s="14"/>
      <c r="AB244" s="14"/>
      <c r="AC244" s="11"/>
      <c r="AD244" s="14"/>
      <c r="AE244" s="14"/>
      <c r="AF244" s="11" t="str">
        <f t="shared" si="34"/>
        <v/>
      </c>
      <c r="AG244" s="14"/>
      <c r="AH244" s="14"/>
      <c r="AI244" s="11" t="str">
        <f t="shared" si="35"/>
        <v/>
      </c>
      <c r="AJ244" s="14"/>
      <c r="AK244" s="11" t="str">
        <f t="shared" si="36"/>
        <v/>
      </c>
      <c r="AL244" s="11" t="str">
        <f t="shared" si="37"/>
        <v/>
      </c>
      <c r="AM244" s="11">
        <f t="shared" si="38"/>
        <v>0</v>
      </c>
      <c r="AN244" s="15" t="str">
        <f t="shared" si="39"/>
        <v/>
      </c>
      <c r="AO244" s="15"/>
      <c r="AP244" s="16"/>
      <c r="AQ244" s="21"/>
      <c r="BC244" s="60">
        <f t="shared" si="33"/>
        <v>0</v>
      </c>
      <c r="BJ244" s="60">
        <f t="shared" si="40"/>
        <v>0</v>
      </c>
    </row>
    <row r="245" spans="1:62" s="17" customFormat="1" x14ac:dyDescent="0.3">
      <c r="A245" s="23">
        <v>243</v>
      </c>
      <c r="B245" s="7"/>
      <c r="C245" s="14"/>
      <c r="D245" s="14"/>
      <c r="E245" s="11"/>
      <c r="F245" s="14"/>
      <c r="G245" s="14"/>
      <c r="H245" s="11"/>
      <c r="I245" s="7"/>
      <c r="J245" s="14"/>
      <c r="K245" s="11"/>
      <c r="L245" s="7">
        <v>241</v>
      </c>
      <c r="M245" s="14"/>
      <c r="N245" s="11"/>
      <c r="O245" s="7">
        <v>241</v>
      </c>
      <c r="P245" s="14"/>
      <c r="Q245" s="11"/>
      <c r="R245" s="7">
        <v>241</v>
      </c>
      <c r="S245" s="14"/>
      <c r="T245" s="11"/>
      <c r="U245" s="14"/>
      <c r="V245" s="14"/>
      <c r="W245" s="11"/>
      <c r="X245" s="14"/>
      <c r="Y245" s="14"/>
      <c r="Z245" s="11"/>
      <c r="AA245" s="14"/>
      <c r="AB245" s="14"/>
      <c r="AC245" s="11"/>
      <c r="AD245" s="14"/>
      <c r="AE245" s="14"/>
      <c r="AF245" s="11" t="str">
        <f t="shared" si="34"/>
        <v/>
      </c>
      <c r="AG245" s="14"/>
      <c r="AH245" s="14"/>
      <c r="AI245" s="11" t="str">
        <f t="shared" si="35"/>
        <v/>
      </c>
      <c r="AJ245" s="14"/>
      <c r="AK245" s="11" t="str">
        <f t="shared" si="36"/>
        <v/>
      </c>
      <c r="AL245" s="11" t="str">
        <f t="shared" si="37"/>
        <v/>
      </c>
      <c r="AM245" s="11">
        <f t="shared" si="38"/>
        <v>0</v>
      </c>
      <c r="AN245" s="15" t="str">
        <f t="shared" si="39"/>
        <v/>
      </c>
      <c r="AO245" s="15"/>
      <c r="AP245" s="16"/>
      <c r="AQ245" s="21"/>
      <c r="BC245" s="60">
        <f t="shared" si="33"/>
        <v>0</v>
      </c>
      <c r="BJ245" s="60">
        <f t="shared" si="40"/>
        <v>0</v>
      </c>
    </row>
    <row r="246" spans="1:62" s="17" customFormat="1" x14ac:dyDescent="0.3">
      <c r="A246" s="23">
        <v>244</v>
      </c>
      <c r="B246" s="7"/>
      <c r="C246" s="14"/>
      <c r="D246" s="14"/>
      <c r="E246" s="11"/>
      <c r="F246" s="14"/>
      <c r="G246" s="14"/>
      <c r="H246" s="11"/>
      <c r="I246" s="7"/>
      <c r="J246" s="14"/>
      <c r="K246" s="11"/>
      <c r="L246" s="7">
        <v>242</v>
      </c>
      <c r="M246" s="14"/>
      <c r="N246" s="11"/>
      <c r="O246" s="7">
        <v>242</v>
      </c>
      <c r="P246" s="14"/>
      <c r="Q246" s="11"/>
      <c r="R246" s="7">
        <v>242</v>
      </c>
      <c r="S246" s="14"/>
      <c r="T246" s="11"/>
      <c r="U246" s="14"/>
      <c r="V246" s="14"/>
      <c r="W246" s="11"/>
      <c r="X246" s="14"/>
      <c r="Y246" s="14"/>
      <c r="Z246" s="11"/>
      <c r="AA246" s="14"/>
      <c r="AB246" s="14"/>
      <c r="AC246" s="11"/>
      <c r="AD246" s="14"/>
      <c r="AE246" s="14"/>
      <c r="AF246" s="11" t="str">
        <f t="shared" si="34"/>
        <v/>
      </c>
      <c r="AG246" s="14"/>
      <c r="AH246" s="14"/>
      <c r="AI246" s="11" t="str">
        <f t="shared" si="35"/>
        <v/>
      </c>
      <c r="AJ246" s="14"/>
      <c r="AK246" s="11" t="str">
        <f t="shared" si="36"/>
        <v/>
      </c>
      <c r="AL246" s="11" t="str">
        <f t="shared" si="37"/>
        <v/>
      </c>
      <c r="AM246" s="11">
        <f t="shared" si="38"/>
        <v>0</v>
      </c>
      <c r="AN246" s="15" t="str">
        <f t="shared" si="39"/>
        <v/>
      </c>
      <c r="AO246" s="15"/>
      <c r="AP246" s="16"/>
      <c r="AQ246" s="21"/>
      <c r="BC246" s="60">
        <f t="shared" si="33"/>
        <v>0</v>
      </c>
      <c r="BJ246" s="60">
        <f t="shared" si="40"/>
        <v>0</v>
      </c>
    </row>
    <row r="247" spans="1:62" s="17" customFormat="1" x14ac:dyDescent="0.3">
      <c r="A247" s="23">
        <v>245</v>
      </c>
      <c r="B247" s="7"/>
      <c r="C247" s="14"/>
      <c r="D247" s="14"/>
      <c r="E247" s="11"/>
      <c r="F247" s="14"/>
      <c r="G247" s="14"/>
      <c r="H247" s="11"/>
      <c r="I247" s="7"/>
      <c r="J247" s="14"/>
      <c r="K247" s="11"/>
      <c r="L247" s="7">
        <v>243</v>
      </c>
      <c r="M247" s="14"/>
      <c r="N247" s="11"/>
      <c r="O247" s="7">
        <v>243</v>
      </c>
      <c r="P247" s="14"/>
      <c r="Q247" s="11"/>
      <c r="R247" s="7">
        <v>243</v>
      </c>
      <c r="S247" s="14"/>
      <c r="T247" s="11"/>
      <c r="U247" s="14"/>
      <c r="V247" s="14"/>
      <c r="W247" s="11"/>
      <c r="X247" s="14"/>
      <c r="Y247" s="14"/>
      <c r="Z247" s="11"/>
      <c r="AA247" s="14"/>
      <c r="AB247" s="14"/>
      <c r="AC247" s="11"/>
      <c r="AD247" s="14"/>
      <c r="AE247" s="14"/>
      <c r="AF247" s="11" t="str">
        <f t="shared" si="34"/>
        <v/>
      </c>
      <c r="AG247" s="14"/>
      <c r="AH247" s="14"/>
      <c r="AI247" s="11" t="str">
        <f t="shared" si="35"/>
        <v/>
      </c>
      <c r="AJ247" s="14"/>
      <c r="AK247" s="11" t="str">
        <f t="shared" si="36"/>
        <v/>
      </c>
      <c r="AL247" s="11" t="str">
        <f t="shared" si="37"/>
        <v/>
      </c>
      <c r="AM247" s="11">
        <f t="shared" si="38"/>
        <v>0</v>
      </c>
      <c r="AN247" s="15" t="str">
        <f t="shared" si="39"/>
        <v/>
      </c>
      <c r="AO247" s="15"/>
      <c r="AP247" s="16"/>
      <c r="AQ247" s="21"/>
      <c r="BC247" s="60">
        <f t="shared" si="33"/>
        <v>0</v>
      </c>
      <c r="BJ247" s="60">
        <f t="shared" si="40"/>
        <v>0</v>
      </c>
    </row>
    <row r="248" spans="1:62" s="17" customFormat="1" x14ac:dyDescent="0.3">
      <c r="A248" s="23">
        <v>246</v>
      </c>
      <c r="B248" s="7"/>
      <c r="C248" s="14"/>
      <c r="D248" s="14"/>
      <c r="E248" s="11"/>
      <c r="F248" s="14"/>
      <c r="G248" s="14"/>
      <c r="H248" s="11"/>
      <c r="I248" s="7"/>
      <c r="J248" s="14"/>
      <c r="K248" s="11"/>
      <c r="L248" s="7">
        <v>244</v>
      </c>
      <c r="M248" s="14"/>
      <c r="N248" s="11"/>
      <c r="O248" s="7">
        <v>244</v>
      </c>
      <c r="P248" s="14"/>
      <c r="Q248" s="11"/>
      <c r="R248" s="7">
        <v>244</v>
      </c>
      <c r="S248" s="14"/>
      <c r="T248" s="11"/>
      <c r="U248" s="14"/>
      <c r="V248" s="14"/>
      <c r="W248" s="11"/>
      <c r="X248" s="14"/>
      <c r="Y248" s="14"/>
      <c r="Z248" s="11"/>
      <c r="AA248" s="14"/>
      <c r="AB248" s="14"/>
      <c r="AC248" s="11"/>
      <c r="AD248" s="14"/>
      <c r="AE248" s="14"/>
      <c r="AF248" s="11" t="str">
        <f t="shared" si="34"/>
        <v/>
      </c>
      <c r="AG248" s="14"/>
      <c r="AH248" s="14"/>
      <c r="AI248" s="11" t="str">
        <f t="shared" si="35"/>
        <v/>
      </c>
      <c r="AJ248" s="14"/>
      <c r="AK248" s="11" t="str">
        <f t="shared" si="36"/>
        <v/>
      </c>
      <c r="AL248" s="11" t="str">
        <f t="shared" si="37"/>
        <v/>
      </c>
      <c r="AM248" s="11">
        <f t="shared" si="38"/>
        <v>0</v>
      </c>
      <c r="AN248" s="15" t="str">
        <f t="shared" si="39"/>
        <v/>
      </c>
      <c r="AO248" s="15"/>
      <c r="AP248" s="16"/>
      <c r="AQ248" s="21"/>
      <c r="BC248" s="60">
        <f t="shared" ref="BC248:BC302" si="41">BB248-BA248</f>
        <v>0</v>
      </c>
      <c r="BJ248" s="60">
        <f t="shared" si="40"/>
        <v>0</v>
      </c>
    </row>
    <row r="249" spans="1:62" s="17" customFormat="1" x14ac:dyDescent="0.3">
      <c r="A249" s="23">
        <v>247</v>
      </c>
      <c r="B249" s="7"/>
      <c r="C249" s="14"/>
      <c r="D249" s="14"/>
      <c r="E249" s="11"/>
      <c r="F249" s="14"/>
      <c r="G249" s="14"/>
      <c r="H249" s="11"/>
      <c r="I249" s="7"/>
      <c r="J249" s="14"/>
      <c r="K249" s="11"/>
      <c r="L249" s="7">
        <v>245</v>
      </c>
      <c r="M249" s="14"/>
      <c r="N249" s="11"/>
      <c r="O249" s="7">
        <v>245</v>
      </c>
      <c r="P249" s="14"/>
      <c r="Q249" s="11"/>
      <c r="R249" s="7">
        <v>245</v>
      </c>
      <c r="S249" s="14"/>
      <c r="T249" s="11"/>
      <c r="U249" s="14"/>
      <c r="V249" s="14"/>
      <c r="W249" s="11"/>
      <c r="X249" s="14"/>
      <c r="Y249" s="14"/>
      <c r="Z249" s="11"/>
      <c r="AA249" s="14"/>
      <c r="AB249" s="14"/>
      <c r="AC249" s="11"/>
      <c r="AD249" s="14"/>
      <c r="AE249" s="14"/>
      <c r="AF249" s="11" t="str">
        <f t="shared" si="34"/>
        <v/>
      </c>
      <c r="AG249" s="14"/>
      <c r="AH249" s="14"/>
      <c r="AI249" s="11" t="str">
        <f t="shared" si="35"/>
        <v/>
      </c>
      <c r="AJ249" s="14"/>
      <c r="AK249" s="11" t="str">
        <f t="shared" si="36"/>
        <v/>
      </c>
      <c r="AL249" s="11" t="str">
        <f t="shared" si="37"/>
        <v/>
      </c>
      <c r="AM249" s="11">
        <f t="shared" si="38"/>
        <v>0</v>
      </c>
      <c r="AN249" s="15" t="str">
        <f t="shared" si="39"/>
        <v/>
      </c>
      <c r="AO249" s="15"/>
      <c r="AP249" s="16"/>
      <c r="AQ249" s="21"/>
      <c r="BC249" s="60">
        <f t="shared" si="41"/>
        <v>0</v>
      </c>
      <c r="BJ249" s="60">
        <f t="shared" si="40"/>
        <v>0</v>
      </c>
    </row>
    <row r="250" spans="1:62" s="17" customFormat="1" x14ac:dyDescent="0.3">
      <c r="A250" s="23">
        <v>248</v>
      </c>
      <c r="B250" s="7"/>
      <c r="C250" s="14"/>
      <c r="D250" s="14"/>
      <c r="E250" s="11"/>
      <c r="F250" s="14"/>
      <c r="G250" s="14"/>
      <c r="H250" s="11"/>
      <c r="I250" s="7"/>
      <c r="J250" s="14"/>
      <c r="K250" s="11"/>
      <c r="L250" s="7">
        <v>246</v>
      </c>
      <c r="M250" s="14"/>
      <c r="N250" s="11"/>
      <c r="O250" s="7">
        <v>246</v>
      </c>
      <c r="P250" s="14"/>
      <c r="Q250" s="11"/>
      <c r="R250" s="7">
        <v>246</v>
      </c>
      <c r="S250" s="14"/>
      <c r="T250" s="11"/>
      <c r="U250" s="14"/>
      <c r="V250" s="14"/>
      <c r="W250" s="11"/>
      <c r="X250" s="14"/>
      <c r="Y250" s="14"/>
      <c r="Z250" s="11"/>
      <c r="AA250" s="14"/>
      <c r="AB250" s="14"/>
      <c r="AC250" s="11"/>
      <c r="AD250" s="14"/>
      <c r="AE250" s="14"/>
      <c r="AF250" s="11" t="str">
        <f t="shared" si="34"/>
        <v/>
      </c>
      <c r="AG250" s="14"/>
      <c r="AH250" s="14"/>
      <c r="AI250" s="11" t="str">
        <f t="shared" si="35"/>
        <v/>
      </c>
      <c r="AJ250" s="14"/>
      <c r="AK250" s="11" t="str">
        <f t="shared" si="36"/>
        <v/>
      </c>
      <c r="AL250" s="11" t="str">
        <f t="shared" si="37"/>
        <v/>
      </c>
      <c r="AM250" s="11">
        <f t="shared" si="38"/>
        <v>0</v>
      </c>
      <c r="AN250" s="15" t="str">
        <f t="shared" si="39"/>
        <v/>
      </c>
      <c r="AO250" s="15"/>
      <c r="AP250" s="16"/>
      <c r="AQ250" s="21"/>
      <c r="BC250" s="60">
        <f t="shared" si="41"/>
        <v>0</v>
      </c>
      <c r="BJ250" s="60">
        <f t="shared" si="40"/>
        <v>0</v>
      </c>
    </row>
    <row r="251" spans="1:62" s="17" customFormat="1" x14ac:dyDescent="0.3">
      <c r="A251" s="23">
        <v>249</v>
      </c>
      <c r="B251" s="7"/>
      <c r="C251" s="14"/>
      <c r="D251" s="14"/>
      <c r="E251" s="11"/>
      <c r="F251" s="14"/>
      <c r="G251" s="14"/>
      <c r="H251" s="11"/>
      <c r="I251" s="7"/>
      <c r="J251" s="14"/>
      <c r="K251" s="11"/>
      <c r="L251" s="7">
        <v>247</v>
      </c>
      <c r="M251" s="14"/>
      <c r="N251" s="11"/>
      <c r="O251" s="7">
        <v>247</v>
      </c>
      <c r="P251" s="14"/>
      <c r="Q251" s="11"/>
      <c r="R251" s="7">
        <v>247</v>
      </c>
      <c r="S251" s="14"/>
      <c r="T251" s="11"/>
      <c r="U251" s="14"/>
      <c r="V251" s="14"/>
      <c r="W251" s="11"/>
      <c r="X251" s="14"/>
      <c r="Y251" s="14"/>
      <c r="Z251" s="11"/>
      <c r="AA251" s="14"/>
      <c r="AB251" s="14"/>
      <c r="AC251" s="11"/>
      <c r="AD251" s="14"/>
      <c r="AE251" s="14"/>
      <c r="AF251" s="11" t="str">
        <f t="shared" si="34"/>
        <v/>
      </c>
      <c r="AG251" s="14"/>
      <c r="AH251" s="14"/>
      <c r="AI251" s="11" t="str">
        <f t="shared" si="35"/>
        <v/>
      </c>
      <c r="AJ251" s="14"/>
      <c r="AK251" s="11" t="str">
        <f t="shared" si="36"/>
        <v/>
      </c>
      <c r="AL251" s="11" t="str">
        <f t="shared" si="37"/>
        <v/>
      </c>
      <c r="AM251" s="11">
        <f t="shared" si="38"/>
        <v>0</v>
      </c>
      <c r="AN251" s="15" t="str">
        <f t="shared" si="39"/>
        <v/>
      </c>
      <c r="AO251" s="15"/>
      <c r="AP251" s="16"/>
      <c r="AQ251" s="21"/>
      <c r="BC251" s="60">
        <f t="shared" si="41"/>
        <v>0</v>
      </c>
      <c r="BJ251" s="60">
        <f t="shared" si="40"/>
        <v>0</v>
      </c>
    </row>
    <row r="252" spans="1:62" s="17" customFormat="1" x14ac:dyDescent="0.3">
      <c r="A252" s="23">
        <v>250</v>
      </c>
      <c r="B252" s="7"/>
      <c r="C252" s="14"/>
      <c r="D252" s="14"/>
      <c r="E252" s="11"/>
      <c r="F252" s="14"/>
      <c r="G252" s="14"/>
      <c r="H252" s="11"/>
      <c r="I252" s="7"/>
      <c r="J252" s="14"/>
      <c r="K252" s="11"/>
      <c r="L252" s="7">
        <v>248</v>
      </c>
      <c r="M252" s="14"/>
      <c r="N252" s="11"/>
      <c r="O252" s="7">
        <v>248</v>
      </c>
      <c r="P252" s="14"/>
      <c r="Q252" s="11"/>
      <c r="R252" s="7">
        <v>248</v>
      </c>
      <c r="S252" s="14"/>
      <c r="T252" s="11"/>
      <c r="U252" s="14"/>
      <c r="V252" s="14"/>
      <c r="W252" s="11"/>
      <c r="X252" s="14"/>
      <c r="Y252" s="14"/>
      <c r="Z252" s="11"/>
      <c r="AA252" s="14"/>
      <c r="AB252" s="14"/>
      <c r="AC252" s="11"/>
      <c r="AD252" s="14"/>
      <c r="AE252" s="14"/>
      <c r="AF252" s="11" t="str">
        <f t="shared" si="34"/>
        <v/>
      </c>
      <c r="AG252" s="14"/>
      <c r="AH252" s="14"/>
      <c r="AI252" s="11" t="str">
        <f t="shared" si="35"/>
        <v/>
      </c>
      <c r="AJ252" s="14"/>
      <c r="AK252" s="11" t="str">
        <f t="shared" si="36"/>
        <v/>
      </c>
      <c r="AL252" s="11" t="str">
        <f t="shared" si="37"/>
        <v/>
      </c>
      <c r="AM252" s="11">
        <f t="shared" si="38"/>
        <v>0</v>
      </c>
      <c r="AN252" s="15" t="str">
        <f t="shared" si="39"/>
        <v/>
      </c>
      <c r="AO252" s="15"/>
      <c r="AP252" s="16"/>
      <c r="AQ252" s="21"/>
      <c r="BC252" s="60">
        <f t="shared" si="41"/>
        <v>0</v>
      </c>
      <c r="BJ252" s="60">
        <f t="shared" si="40"/>
        <v>0</v>
      </c>
    </row>
    <row r="253" spans="1:62" s="17" customFormat="1" x14ac:dyDescent="0.3">
      <c r="A253" s="23">
        <v>251</v>
      </c>
      <c r="B253" s="7"/>
      <c r="C253" s="14"/>
      <c r="D253" s="14"/>
      <c r="E253" s="11"/>
      <c r="F253" s="14"/>
      <c r="G253" s="14"/>
      <c r="H253" s="11"/>
      <c r="I253" s="7"/>
      <c r="J253" s="14"/>
      <c r="K253" s="11"/>
      <c r="L253" s="7">
        <v>249</v>
      </c>
      <c r="M253" s="14"/>
      <c r="N253" s="11"/>
      <c r="O253" s="7">
        <v>249</v>
      </c>
      <c r="P253" s="14"/>
      <c r="Q253" s="11"/>
      <c r="R253" s="7">
        <v>249</v>
      </c>
      <c r="S253" s="14"/>
      <c r="T253" s="11"/>
      <c r="U253" s="14"/>
      <c r="V253" s="14"/>
      <c r="W253" s="11"/>
      <c r="X253" s="14"/>
      <c r="Y253" s="14"/>
      <c r="Z253" s="11"/>
      <c r="AA253" s="14"/>
      <c r="AB253" s="14"/>
      <c r="AC253" s="11"/>
      <c r="AD253" s="14"/>
      <c r="AE253" s="14"/>
      <c r="AF253" s="11" t="str">
        <f t="shared" si="34"/>
        <v/>
      </c>
      <c r="AG253" s="14"/>
      <c r="AH253" s="14"/>
      <c r="AI253" s="11" t="str">
        <f t="shared" si="35"/>
        <v/>
      </c>
      <c r="AJ253" s="14"/>
      <c r="AK253" s="11" t="str">
        <f t="shared" si="36"/>
        <v/>
      </c>
      <c r="AL253" s="11" t="str">
        <f t="shared" si="37"/>
        <v/>
      </c>
      <c r="AM253" s="11">
        <f t="shared" si="38"/>
        <v>0</v>
      </c>
      <c r="AN253" s="15" t="str">
        <f t="shared" si="39"/>
        <v/>
      </c>
      <c r="AO253" s="15"/>
      <c r="AP253" s="16"/>
      <c r="AQ253" s="21"/>
      <c r="BC253" s="60">
        <f t="shared" si="41"/>
        <v>0</v>
      </c>
      <c r="BJ253" s="60">
        <f t="shared" si="40"/>
        <v>0</v>
      </c>
    </row>
    <row r="254" spans="1:62" s="17" customFormat="1" x14ac:dyDescent="0.3">
      <c r="A254" s="23">
        <v>252</v>
      </c>
      <c r="B254" s="7"/>
      <c r="C254" s="14"/>
      <c r="D254" s="14"/>
      <c r="E254" s="11"/>
      <c r="F254" s="14"/>
      <c r="G254" s="14"/>
      <c r="H254" s="11"/>
      <c r="I254" s="7"/>
      <c r="J254" s="14"/>
      <c r="K254" s="11"/>
      <c r="L254" s="7">
        <v>250</v>
      </c>
      <c r="M254" s="14"/>
      <c r="N254" s="11"/>
      <c r="O254" s="7">
        <v>250</v>
      </c>
      <c r="P254" s="14"/>
      <c r="Q254" s="11"/>
      <c r="R254" s="7">
        <v>250</v>
      </c>
      <c r="S254" s="14"/>
      <c r="T254" s="11"/>
      <c r="U254" s="14"/>
      <c r="V254" s="14"/>
      <c r="W254" s="11"/>
      <c r="X254" s="14"/>
      <c r="Y254" s="14"/>
      <c r="Z254" s="11"/>
      <c r="AA254" s="14"/>
      <c r="AB254" s="14"/>
      <c r="AC254" s="11"/>
      <c r="AD254" s="14"/>
      <c r="AE254" s="14"/>
      <c r="AF254" s="11" t="str">
        <f t="shared" si="34"/>
        <v/>
      </c>
      <c r="AG254" s="14"/>
      <c r="AH254" s="14"/>
      <c r="AI254" s="11" t="str">
        <f t="shared" si="35"/>
        <v/>
      </c>
      <c r="AJ254" s="14"/>
      <c r="AK254" s="11" t="str">
        <f t="shared" si="36"/>
        <v/>
      </c>
      <c r="AL254" s="11" t="str">
        <f t="shared" si="37"/>
        <v/>
      </c>
      <c r="AM254" s="11">
        <f t="shared" si="38"/>
        <v>0</v>
      </c>
      <c r="AN254" s="15" t="str">
        <f t="shared" si="39"/>
        <v/>
      </c>
      <c r="AO254" s="15"/>
      <c r="AP254" s="16"/>
      <c r="AQ254" s="21"/>
      <c r="BC254" s="60">
        <f t="shared" si="41"/>
        <v>0</v>
      </c>
      <c r="BJ254" s="60">
        <f t="shared" si="40"/>
        <v>0</v>
      </c>
    </row>
    <row r="255" spans="1:62" s="17" customFormat="1" x14ac:dyDescent="0.3">
      <c r="A255" s="23">
        <v>253</v>
      </c>
      <c r="B255" s="7"/>
      <c r="C255" s="14"/>
      <c r="D255" s="14"/>
      <c r="E255" s="11"/>
      <c r="F255" s="14"/>
      <c r="G255" s="14"/>
      <c r="H255" s="11"/>
      <c r="I255" s="7"/>
      <c r="J255" s="14"/>
      <c r="K255" s="11"/>
      <c r="L255" s="7">
        <v>251</v>
      </c>
      <c r="M255" s="14"/>
      <c r="N255" s="11"/>
      <c r="O255" s="7">
        <v>251</v>
      </c>
      <c r="P255" s="14"/>
      <c r="Q255" s="11"/>
      <c r="R255" s="7">
        <v>251</v>
      </c>
      <c r="S255" s="14"/>
      <c r="T255" s="11"/>
      <c r="U255" s="14"/>
      <c r="V255" s="14"/>
      <c r="W255" s="11"/>
      <c r="X255" s="14"/>
      <c r="Y255" s="14"/>
      <c r="Z255" s="11"/>
      <c r="AA255" s="14"/>
      <c r="AB255" s="14"/>
      <c r="AC255" s="11"/>
      <c r="AD255" s="14"/>
      <c r="AE255" s="14"/>
      <c r="AF255" s="11" t="str">
        <f t="shared" si="34"/>
        <v/>
      </c>
      <c r="AG255" s="14"/>
      <c r="AH255" s="14"/>
      <c r="AI255" s="11" t="str">
        <f t="shared" si="35"/>
        <v/>
      </c>
      <c r="AJ255" s="14"/>
      <c r="AK255" s="11" t="str">
        <f t="shared" si="36"/>
        <v/>
      </c>
      <c r="AL255" s="11" t="str">
        <f t="shared" si="37"/>
        <v/>
      </c>
      <c r="AM255" s="11">
        <f t="shared" si="38"/>
        <v>0</v>
      </c>
      <c r="AN255" s="15" t="str">
        <f t="shared" si="39"/>
        <v/>
      </c>
      <c r="AO255" s="15"/>
      <c r="AP255" s="16"/>
      <c r="AQ255" s="21"/>
      <c r="BC255" s="60">
        <f t="shared" si="41"/>
        <v>0</v>
      </c>
      <c r="BJ255" s="60">
        <f t="shared" si="40"/>
        <v>0</v>
      </c>
    </row>
    <row r="256" spans="1:62" s="17" customFormat="1" x14ac:dyDescent="0.3">
      <c r="A256" s="23">
        <v>254</v>
      </c>
      <c r="B256" s="7"/>
      <c r="C256" s="14"/>
      <c r="D256" s="14"/>
      <c r="E256" s="11"/>
      <c r="F256" s="14"/>
      <c r="G256" s="14"/>
      <c r="H256" s="11"/>
      <c r="I256" s="7"/>
      <c r="J256" s="14"/>
      <c r="K256" s="11"/>
      <c r="L256" s="7">
        <v>252</v>
      </c>
      <c r="M256" s="14"/>
      <c r="N256" s="11"/>
      <c r="O256" s="7">
        <v>252</v>
      </c>
      <c r="P256" s="14"/>
      <c r="Q256" s="11"/>
      <c r="R256" s="7">
        <v>252</v>
      </c>
      <c r="S256" s="14"/>
      <c r="T256" s="11"/>
      <c r="U256" s="14"/>
      <c r="V256" s="14"/>
      <c r="W256" s="11"/>
      <c r="X256" s="14"/>
      <c r="Y256" s="14"/>
      <c r="Z256" s="11"/>
      <c r="AA256" s="14"/>
      <c r="AB256" s="14"/>
      <c r="AC256" s="11"/>
      <c r="AD256" s="14"/>
      <c r="AE256" s="14"/>
      <c r="AF256" s="11" t="str">
        <f t="shared" si="34"/>
        <v/>
      </c>
      <c r="AG256" s="14"/>
      <c r="AH256" s="14"/>
      <c r="AI256" s="11" t="str">
        <f t="shared" si="35"/>
        <v/>
      </c>
      <c r="AJ256" s="14"/>
      <c r="AK256" s="11" t="str">
        <f t="shared" si="36"/>
        <v/>
      </c>
      <c r="AL256" s="11" t="str">
        <f t="shared" si="37"/>
        <v/>
      </c>
      <c r="AM256" s="11">
        <f t="shared" si="38"/>
        <v>0</v>
      </c>
      <c r="AN256" s="15" t="str">
        <f t="shared" si="39"/>
        <v/>
      </c>
      <c r="AO256" s="15"/>
      <c r="AP256" s="16"/>
      <c r="AQ256" s="21"/>
      <c r="BC256" s="60">
        <f t="shared" si="41"/>
        <v>0</v>
      </c>
      <c r="BJ256" s="60">
        <f t="shared" si="40"/>
        <v>0</v>
      </c>
    </row>
    <row r="257" spans="1:62" s="17" customFormat="1" x14ac:dyDescent="0.3">
      <c r="A257" s="23">
        <v>255</v>
      </c>
      <c r="B257" s="7"/>
      <c r="C257" s="14"/>
      <c r="D257" s="14"/>
      <c r="E257" s="11"/>
      <c r="F257" s="14"/>
      <c r="G257" s="14"/>
      <c r="H257" s="11"/>
      <c r="I257" s="7"/>
      <c r="J257" s="14"/>
      <c r="K257" s="11"/>
      <c r="L257" s="7">
        <v>253</v>
      </c>
      <c r="M257" s="14"/>
      <c r="N257" s="11"/>
      <c r="O257" s="7">
        <v>253</v>
      </c>
      <c r="P257" s="14"/>
      <c r="Q257" s="11"/>
      <c r="R257" s="7">
        <v>253</v>
      </c>
      <c r="S257" s="14"/>
      <c r="T257" s="11"/>
      <c r="U257" s="14"/>
      <c r="V257" s="14"/>
      <c r="W257" s="11"/>
      <c r="X257" s="14"/>
      <c r="Y257" s="14"/>
      <c r="Z257" s="11"/>
      <c r="AA257" s="14"/>
      <c r="AB257" s="14"/>
      <c r="AC257" s="11"/>
      <c r="AD257" s="14"/>
      <c r="AE257" s="14"/>
      <c r="AF257" s="11" t="str">
        <f t="shared" si="34"/>
        <v/>
      </c>
      <c r="AG257" s="14"/>
      <c r="AH257" s="14"/>
      <c r="AI257" s="11" t="str">
        <f t="shared" si="35"/>
        <v/>
      </c>
      <c r="AJ257" s="14"/>
      <c r="AK257" s="11" t="str">
        <f t="shared" si="36"/>
        <v/>
      </c>
      <c r="AL257" s="11" t="str">
        <f t="shared" si="37"/>
        <v/>
      </c>
      <c r="AM257" s="11">
        <f t="shared" si="38"/>
        <v>0</v>
      </c>
      <c r="AN257" s="15" t="str">
        <f t="shared" si="39"/>
        <v/>
      </c>
      <c r="AO257" s="15"/>
      <c r="AP257" s="16"/>
      <c r="AQ257" s="21"/>
      <c r="BC257" s="60">
        <f t="shared" si="41"/>
        <v>0</v>
      </c>
      <c r="BJ257" s="60">
        <f t="shared" si="40"/>
        <v>0</v>
      </c>
    </row>
    <row r="258" spans="1:62" s="17" customFormat="1" x14ac:dyDescent="0.3">
      <c r="A258" s="23">
        <v>256</v>
      </c>
      <c r="B258" s="7"/>
      <c r="C258" s="14"/>
      <c r="D258" s="14"/>
      <c r="E258" s="11"/>
      <c r="F258" s="14"/>
      <c r="G258" s="14"/>
      <c r="H258" s="11"/>
      <c r="I258" s="7"/>
      <c r="J258" s="14"/>
      <c r="K258" s="11"/>
      <c r="L258" s="7">
        <v>254</v>
      </c>
      <c r="M258" s="14"/>
      <c r="N258" s="11"/>
      <c r="O258" s="7">
        <v>254</v>
      </c>
      <c r="P258" s="14"/>
      <c r="Q258" s="11"/>
      <c r="R258" s="7">
        <v>254</v>
      </c>
      <c r="S258" s="14"/>
      <c r="T258" s="11"/>
      <c r="U258" s="14"/>
      <c r="V258" s="14"/>
      <c r="W258" s="11"/>
      <c r="X258" s="14"/>
      <c r="Y258" s="14"/>
      <c r="Z258" s="11"/>
      <c r="AA258" s="14"/>
      <c r="AB258" s="14"/>
      <c r="AC258" s="11"/>
      <c r="AD258" s="14"/>
      <c r="AE258" s="14"/>
      <c r="AF258" s="11" t="str">
        <f t="shared" si="34"/>
        <v/>
      </c>
      <c r="AG258" s="14"/>
      <c r="AH258" s="14"/>
      <c r="AI258" s="11" t="str">
        <f t="shared" si="35"/>
        <v/>
      </c>
      <c r="AJ258" s="14"/>
      <c r="AK258" s="11" t="str">
        <f t="shared" si="36"/>
        <v/>
      </c>
      <c r="AL258" s="11" t="str">
        <f t="shared" si="37"/>
        <v/>
      </c>
      <c r="AM258" s="11">
        <f t="shared" si="38"/>
        <v>0</v>
      </c>
      <c r="AN258" s="15" t="str">
        <f t="shared" si="39"/>
        <v/>
      </c>
      <c r="AO258" s="15"/>
      <c r="AP258" s="16"/>
      <c r="AQ258" s="21"/>
      <c r="BC258" s="60">
        <f t="shared" si="41"/>
        <v>0</v>
      </c>
      <c r="BJ258" s="60">
        <f t="shared" si="40"/>
        <v>0</v>
      </c>
    </row>
    <row r="259" spans="1:62" s="17" customFormat="1" x14ac:dyDescent="0.3">
      <c r="A259" s="23">
        <v>257</v>
      </c>
      <c r="B259" s="7"/>
      <c r="C259" s="14"/>
      <c r="D259" s="14"/>
      <c r="E259" s="11"/>
      <c r="F259" s="14"/>
      <c r="G259" s="14"/>
      <c r="H259" s="11"/>
      <c r="I259" s="7"/>
      <c r="J259" s="14"/>
      <c r="K259" s="11"/>
      <c r="L259" s="7">
        <v>255</v>
      </c>
      <c r="M259" s="14"/>
      <c r="N259" s="11"/>
      <c r="O259" s="7">
        <v>255</v>
      </c>
      <c r="P259" s="14"/>
      <c r="Q259" s="11"/>
      <c r="R259" s="7">
        <v>255</v>
      </c>
      <c r="S259" s="14"/>
      <c r="T259" s="11"/>
      <c r="U259" s="14"/>
      <c r="V259" s="14"/>
      <c r="W259" s="11"/>
      <c r="X259" s="14"/>
      <c r="Y259" s="14"/>
      <c r="Z259" s="11"/>
      <c r="AA259" s="14"/>
      <c r="AB259" s="14"/>
      <c r="AC259" s="11"/>
      <c r="AD259" s="14"/>
      <c r="AE259" s="14"/>
      <c r="AF259" s="11" t="str">
        <f t="shared" si="34"/>
        <v/>
      </c>
      <c r="AG259" s="14"/>
      <c r="AH259" s="14"/>
      <c r="AI259" s="11" t="str">
        <f t="shared" si="35"/>
        <v/>
      </c>
      <c r="AJ259" s="14"/>
      <c r="AK259" s="11" t="str">
        <f t="shared" si="36"/>
        <v/>
      </c>
      <c r="AL259" s="11" t="str">
        <f t="shared" si="37"/>
        <v/>
      </c>
      <c r="AM259" s="11">
        <f t="shared" si="38"/>
        <v>0</v>
      </c>
      <c r="AN259" s="15" t="str">
        <f t="shared" si="39"/>
        <v/>
      </c>
      <c r="AO259" s="15"/>
      <c r="AP259" s="16"/>
      <c r="AQ259" s="21"/>
      <c r="BC259" s="60">
        <f t="shared" si="41"/>
        <v>0</v>
      </c>
      <c r="BJ259" s="60">
        <f t="shared" si="40"/>
        <v>0</v>
      </c>
    </row>
    <row r="260" spans="1:62" s="17" customFormat="1" x14ac:dyDescent="0.3">
      <c r="A260" s="23">
        <v>258</v>
      </c>
      <c r="B260" s="7"/>
      <c r="C260" s="14"/>
      <c r="D260" s="14"/>
      <c r="E260" s="11"/>
      <c r="F260" s="14"/>
      <c r="G260" s="14"/>
      <c r="H260" s="11"/>
      <c r="I260" s="7"/>
      <c r="J260" s="14"/>
      <c r="K260" s="11"/>
      <c r="L260" s="7">
        <v>256</v>
      </c>
      <c r="M260" s="14"/>
      <c r="N260" s="11"/>
      <c r="O260" s="7">
        <v>256</v>
      </c>
      <c r="P260" s="14"/>
      <c r="Q260" s="11"/>
      <c r="R260" s="7">
        <v>256</v>
      </c>
      <c r="S260" s="14"/>
      <c r="T260" s="11"/>
      <c r="U260" s="14"/>
      <c r="V260" s="14"/>
      <c r="W260" s="11"/>
      <c r="X260" s="14"/>
      <c r="Y260" s="14"/>
      <c r="Z260" s="11"/>
      <c r="AA260" s="14"/>
      <c r="AB260" s="14"/>
      <c r="AC260" s="11"/>
      <c r="AD260" s="14"/>
      <c r="AE260" s="14"/>
      <c r="AF260" s="11" t="str">
        <f t="shared" si="34"/>
        <v/>
      </c>
      <c r="AG260" s="14"/>
      <c r="AH260" s="14"/>
      <c r="AI260" s="11" t="str">
        <f t="shared" si="35"/>
        <v/>
      </c>
      <c r="AJ260" s="14"/>
      <c r="AK260" s="11" t="str">
        <f t="shared" si="36"/>
        <v/>
      </c>
      <c r="AL260" s="11" t="str">
        <f t="shared" si="37"/>
        <v/>
      </c>
      <c r="AM260" s="11">
        <f t="shared" si="38"/>
        <v>0</v>
      </c>
      <c r="AN260" s="15" t="str">
        <f t="shared" si="39"/>
        <v/>
      </c>
      <c r="AO260" s="15"/>
      <c r="AP260" s="16"/>
      <c r="AQ260" s="21"/>
      <c r="BC260" s="60">
        <f t="shared" si="41"/>
        <v>0</v>
      </c>
      <c r="BJ260" s="60">
        <f t="shared" si="40"/>
        <v>0</v>
      </c>
    </row>
    <row r="261" spans="1:62" s="17" customFormat="1" x14ac:dyDescent="0.3">
      <c r="A261" s="23">
        <v>259</v>
      </c>
      <c r="B261" s="7"/>
      <c r="C261" s="14"/>
      <c r="D261" s="14"/>
      <c r="E261" s="11"/>
      <c r="F261" s="14"/>
      <c r="G261" s="14"/>
      <c r="H261" s="11"/>
      <c r="I261" s="7"/>
      <c r="J261" s="14"/>
      <c r="K261" s="11"/>
      <c r="L261" s="7">
        <v>257</v>
      </c>
      <c r="M261" s="14"/>
      <c r="N261" s="11"/>
      <c r="O261" s="7">
        <v>257</v>
      </c>
      <c r="P261" s="14"/>
      <c r="Q261" s="11"/>
      <c r="R261" s="7">
        <v>257</v>
      </c>
      <c r="S261" s="14"/>
      <c r="T261" s="11"/>
      <c r="U261" s="14"/>
      <c r="V261" s="14"/>
      <c r="W261" s="11"/>
      <c r="X261" s="14"/>
      <c r="Y261" s="14"/>
      <c r="Z261" s="11"/>
      <c r="AA261" s="14"/>
      <c r="AB261" s="14"/>
      <c r="AC261" s="11"/>
      <c r="AD261" s="14"/>
      <c r="AE261" s="14"/>
      <c r="AF261" s="11" t="str">
        <f t="shared" ref="AF261:AF302" si="42">IF(AND(AD261&lt;&gt;"",AE261&lt;&gt;""),(AE261-AD261)*1440,"")</f>
        <v/>
      </c>
      <c r="AG261" s="14"/>
      <c r="AH261" s="14"/>
      <c r="AI261" s="11" t="str">
        <f t="shared" ref="AI261:AI302" si="43">IF(AND(AG261&lt;&gt;"",AH261&lt;&gt;""),(AH261-AG261)*1440,"")</f>
        <v/>
      </c>
      <c r="AJ261" s="14"/>
      <c r="AK261" s="11" t="str">
        <f t="shared" ref="AK261:AK302" si="44">IF(AND(C261&lt;&gt;"",AJ261&lt;&gt;""),(AJ261-C261)*1440,"")</f>
        <v/>
      </c>
      <c r="AL261" s="11" t="str">
        <f t="shared" ref="AL261:AL302" si="45">IF(AC261="","",ROUND(N(AC261),1))</f>
        <v/>
      </c>
      <c r="AM261" s="11">
        <f t="shared" ref="AM261:AM302" si="46">IF(COUNT(D261,G261,J261,M261,P261,S261,V261,Y261,AF261,AI261,AT261,AW261,AZ261,BC261,BF261)=0,"",ROUND(N(D261)*1440+N(G261)*1440+N(J261)*1440+N(M261)*1440+N(P261)*1440+N(S261)*1440+N(V261)*1440+N(Y261)*1440+N(AF261)+N(AI261)+N(AT261)+N(AW261)+N(AZ261)+N(BC261)+N(BF261),1))</f>
        <v>0</v>
      </c>
      <c r="AN261" s="15" t="str">
        <f t="shared" ref="AN261:AN302" si="47">IF(OR(AK261="",AK261=0),"",AL261/AK261)</f>
        <v/>
      </c>
      <c r="AO261" s="15"/>
      <c r="AP261" s="16"/>
      <c r="AQ261" s="21"/>
      <c r="BC261" s="60">
        <f t="shared" si="41"/>
        <v>0</v>
      </c>
      <c r="BJ261" s="60">
        <f t="shared" si="40"/>
        <v>0</v>
      </c>
    </row>
    <row r="262" spans="1:62" s="17" customFormat="1" x14ac:dyDescent="0.3">
      <c r="A262" s="23">
        <v>260</v>
      </c>
      <c r="B262" s="7"/>
      <c r="C262" s="14"/>
      <c r="D262" s="14"/>
      <c r="E262" s="11"/>
      <c r="F262" s="14"/>
      <c r="G262" s="14"/>
      <c r="H262" s="11"/>
      <c r="I262" s="7"/>
      <c r="J262" s="14"/>
      <c r="K262" s="11"/>
      <c r="L262" s="7">
        <v>258</v>
      </c>
      <c r="M262" s="14"/>
      <c r="N262" s="11"/>
      <c r="O262" s="7">
        <v>258</v>
      </c>
      <c r="P262" s="14"/>
      <c r="Q262" s="11"/>
      <c r="R262" s="7">
        <v>258</v>
      </c>
      <c r="S262" s="14"/>
      <c r="T262" s="11"/>
      <c r="U262" s="14"/>
      <c r="V262" s="14"/>
      <c r="W262" s="11"/>
      <c r="X262" s="14"/>
      <c r="Y262" s="14"/>
      <c r="Z262" s="11"/>
      <c r="AA262" s="14"/>
      <c r="AB262" s="14"/>
      <c r="AC262" s="11"/>
      <c r="AD262" s="14"/>
      <c r="AE262" s="14"/>
      <c r="AF262" s="11" t="str">
        <f t="shared" si="42"/>
        <v/>
      </c>
      <c r="AG262" s="14"/>
      <c r="AH262" s="14"/>
      <c r="AI262" s="11" t="str">
        <f t="shared" si="43"/>
        <v/>
      </c>
      <c r="AJ262" s="14"/>
      <c r="AK262" s="11" t="str">
        <f t="shared" si="44"/>
        <v/>
      </c>
      <c r="AL262" s="11" t="str">
        <f t="shared" si="45"/>
        <v/>
      </c>
      <c r="AM262" s="11">
        <f t="shared" si="46"/>
        <v>0</v>
      </c>
      <c r="AN262" s="15" t="str">
        <f t="shared" si="47"/>
        <v/>
      </c>
      <c r="AO262" s="15"/>
      <c r="AP262" s="16"/>
      <c r="AQ262" s="21"/>
      <c r="BC262" s="60">
        <f t="shared" si="41"/>
        <v>0</v>
      </c>
      <c r="BJ262" s="60">
        <f t="shared" si="40"/>
        <v>0</v>
      </c>
    </row>
    <row r="263" spans="1:62" s="17" customFormat="1" x14ac:dyDescent="0.3">
      <c r="A263" s="23">
        <v>261</v>
      </c>
      <c r="B263" s="7"/>
      <c r="C263" s="14"/>
      <c r="D263" s="14"/>
      <c r="E263" s="11"/>
      <c r="F263" s="14"/>
      <c r="G263" s="14"/>
      <c r="H263" s="11"/>
      <c r="I263" s="7"/>
      <c r="J263" s="14"/>
      <c r="K263" s="11"/>
      <c r="L263" s="7">
        <v>259</v>
      </c>
      <c r="M263" s="14"/>
      <c r="N263" s="11"/>
      <c r="O263" s="7">
        <v>259</v>
      </c>
      <c r="P263" s="14"/>
      <c r="Q263" s="11"/>
      <c r="R263" s="7">
        <v>259</v>
      </c>
      <c r="S263" s="14"/>
      <c r="T263" s="11"/>
      <c r="U263" s="14"/>
      <c r="V263" s="14"/>
      <c r="W263" s="11"/>
      <c r="X263" s="14"/>
      <c r="Y263" s="14"/>
      <c r="Z263" s="11"/>
      <c r="AA263" s="14"/>
      <c r="AB263" s="14"/>
      <c r="AC263" s="11"/>
      <c r="AD263" s="14"/>
      <c r="AE263" s="14"/>
      <c r="AF263" s="11" t="str">
        <f t="shared" si="42"/>
        <v/>
      </c>
      <c r="AG263" s="14"/>
      <c r="AH263" s="14"/>
      <c r="AI263" s="11" t="str">
        <f t="shared" si="43"/>
        <v/>
      </c>
      <c r="AJ263" s="14"/>
      <c r="AK263" s="11" t="str">
        <f t="shared" si="44"/>
        <v/>
      </c>
      <c r="AL263" s="11" t="str">
        <f t="shared" si="45"/>
        <v/>
      </c>
      <c r="AM263" s="11">
        <f t="shared" si="46"/>
        <v>0</v>
      </c>
      <c r="AN263" s="15" t="str">
        <f t="shared" si="47"/>
        <v/>
      </c>
      <c r="AO263" s="15"/>
      <c r="AP263" s="16"/>
      <c r="AQ263" s="21"/>
      <c r="BC263" s="60">
        <f t="shared" si="41"/>
        <v>0</v>
      </c>
      <c r="BJ263" s="60">
        <f t="shared" si="40"/>
        <v>0</v>
      </c>
    </row>
    <row r="264" spans="1:62" s="17" customFormat="1" x14ac:dyDescent="0.3">
      <c r="A264" s="23">
        <v>262</v>
      </c>
      <c r="B264" s="7"/>
      <c r="C264" s="14"/>
      <c r="D264" s="14"/>
      <c r="E264" s="11"/>
      <c r="F264" s="14"/>
      <c r="G264" s="14"/>
      <c r="H264" s="11"/>
      <c r="I264" s="7"/>
      <c r="J264" s="14"/>
      <c r="K264" s="11"/>
      <c r="L264" s="7">
        <v>260</v>
      </c>
      <c r="M264" s="14"/>
      <c r="N264" s="11"/>
      <c r="O264" s="7">
        <v>260</v>
      </c>
      <c r="P264" s="14"/>
      <c r="Q264" s="11"/>
      <c r="R264" s="7">
        <v>260</v>
      </c>
      <c r="S264" s="14"/>
      <c r="T264" s="11"/>
      <c r="U264" s="14"/>
      <c r="V264" s="14"/>
      <c r="W264" s="11"/>
      <c r="X264" s="14"/>
      <c r="Y264" s="14"/>
      <c r="Z264" s="11"/>
      <c r="AA264" s="14"/>
      <c r="AB264" s="14"/>
      <c r="AC264" s="11"/>
      <c r="AD264" s="14"/>
      <c r="AE264" s="14"/>
      <c r="AF264" s="11" t="str">
        <f t="shared" si="42"/>
        <v/>
      </c>
      <c r="AG264" s="14"/>
      <c r="AH264" s="14"/>
      <c r="AI264" s="11" t="str">
        <f t="shared" si="43"/>
        <v/>
      </c>
      <c r="AJ264" s="14"/>
      <c r="AK264" s="11" t="str">
        <f t="shared" si="44"/>
        <v/>
      </c>
      <c r="AL264" s="11" t="str">
        <f t="shared" si="45"/>
        <v/>
      </c>
      <c r="AM264" s="11">
        <f t="shared" si="46"/>
        <v>0</v>
      </c>
      <c r="AN264" s="15" t="str">
        <f t="shared" si="47"/>
        <v/>
      </c>
      <c r="AO264" s="15"/>
      <c r="AP264" s="16"/>
      <c r="AQ264" s="21"/>
      <c r="BC264" s="60">
        <f t="shared" si="41"/>
        <v>0</v>
      </c>
      <c r="BJ264" s="60">
        <f t="shared" si="40"/>
        <v>0</v>
      </c>
    </row>
    <row r="265" spans="1:62" s="17" customFormat="1" x14ac:dyDescent="0.3">
      <c r="A265" s="23">
        <v>263</v>
      </c>
      <c r="B265" s="7"/>
      <c r="C265" s="14"/>
      <c r="D265" s="14"/>
      <c r="E265" s="11"/>
      <c r="F265" s="14"/>
      <c r="G265" s="14"/>
      <c r="H265" s="11"/>
      <c r="I265" s="7"/>
      <c r="J265" s="14"/>
      <c r="K265" s="11"/>
      <c r="L265" s="7">
        <v>261</v>
      </c>
      <c r="M265" s="14"/>
      <c r="N265" s="11"/>
      <c r="O265" s="7">
        <v>261</v>
      </c>
      <c r="P265" s="14"/>
      <c r="Q265" s="11"/>
      <c r="R265" s="7">
        <v>261</v>
      </c>
      <c r="S265" s="14"/>
      <c r="T265" s="11"/>
      <c r="U265" s="14"/>
      <c r="V265" s="14"/>
      <c r="W265" s="11"/>
      <c r="X265" s="14"/>
      <c r="Y265" s="14"/>
      <c r="Z265" s="11"/>
      <c r="AA265" s="14"/>
      <c r="AB265" s="14"/>
      <c r="AC265" s="11"/>
      <c r="AD265" s="14"/>
      <c r="AE265" s="14"/>
      <c r="AF265" s="11" t="str">
        <f t="shared" si="42"/>
        <v/>
      </c>
      <c r="AG265" s="14"/>
      <c r="AH265" s="14"/>
      <c r="AI265" s="11" t="str">
        <f t="shared" si="43"/>
        <v/>
      </c>
      <c r="AJ265" s="14"/>
      <c r="AK265" s="11" t="str">
        <f t="shared" si="44"/>
        <v/>
      </c>
      <c r="AL265" s="11" t="str">
        <f t="shared" si="45"/>
        <v/>
      </c>
      <c r="AM265" s="11">
        <f t="shared" si="46"/>
        <v>0</v>
      </c>
      <c r="AN265" s="15" t="str">
        <f t="shared" si="47"/>
        <v/>
      </c>
      <c r="AO265" s="15"/>
      <c r="AP265" s="16"/>
      <c r="AQ265" s="21"/>
      <c r="BC265" s="60">
        <f t="shared" si="41"/>
        <v>0</v>
      </c>
      <c r="BJ265" s="60">
        <f t="shared" si="40"/>
        <v>0</v>
      </c>
    </row>
    <row r="266" spans="1:62" s="17" customFormat="1" x14ac:dyDescent="0.3">
      <c r="A266" s="23">
        <v>264</v>
      </c>
      <c r="B266" s="7"/>
      <c r="C266" s="14"/>
      <c r="D266" s="14"/>
      <c r="E266" s="11"/>
      <c r="F266" s="14"/>
      <c r="G266" s="14"/>
      <c r="H266" s="11"/>
      <c r="I266" s="7"/>
      <c r="J266" s="14"/>
      <c r="K266" s="11"/>
      <c r="L266" s="7">
        <v>262</v>
      </c>
      <c r="M266" s="14"/>
      <c r="N266" s="11"/>
      <c r="O266" s="7">
        <v>262</v>
      </c>
      <c r="P266" s="14"/>
      <c r="Q266" s="11"/>
      <c r="R266" s="7">
        <v>262</v>
      </c>
      <c r="S266" s="14"/>
      <c r="T266" s="11"/>
      <c r="U266" s="14"/>
      <c r="V266" s="14"/>
      <c r="W266" s="11"/>
      <c r="X266" s="14"/>
      <c r="Y266" s="14"/>
      <c r="Z266" s="11"/>
      <c r="AA266" s="14"/>
      <c r="AB266" s="14"/>
      <c r="AC266" s="11"/>
      <c r="AD266" s="14"/>
      <c r="AE266" s="14"/>
      <c r="AF266" s="11" t="str">
        <f t="shared" si="42"/>
        <v/>
      </c>
      <c r="AG266" s="14"/>
      <c r="AH266" s="14"/>
      <c r="AI266" s="11" t="str">
        <f t="shared" si="43"/>
        <v/>
      </c>
      <c r="AJ266" s="14"/>
      <c r="AK266" s="11" t="str">
        <f t="shared" si="44"/>
        <v/>
      </c>
      <c r="AL266" s="11" t="str">
        <f t="shared" si="45"/>
        <v/>
      </c>
      <c r="AM266" s="11">
        <f t="shared" si="46"/>
        <v>0</v>
      </c>
      <c r="AN266" s="15" t="str">
        <f t="shared" si="47"/>
        <v/>
      </c>
      <c r="AO266" s="15"/>
      <c r="AP266" s="16"/>
      <c r="AQ266" s="21"/>
      <c r="BC266" s="60">
        <f t="shared" si="41"/>
        <v>0</v>
      </c>
      <c r="BJ266" s="60">
        <f t="shared" ref="BJ266:BJ302" si="48">BH266-BG266</f>
        <v>0</v>
      </c>
    </row>
    <row r="267" spans="1:62" s="17" customFormat="1" x14ac:dyDescent="0.3">
      <c r="A267" s="23">
        <v>265</v>
      </c>
      <c r="B267" s="7"/>
      <c r="C267" s="14"/>
      <c r="D267" s="14"/>
      <c r="E267" s="11"/>
      <c r="F267" s="14"/>
      <c r="G267" s="14"/>
      <c r="H267" s="11"/>
      <c r="I267" s="7"/>
      <c r="J267" s="14"/>
      <c r="K267" s="11"/>
      <c r="L267" s="7">
        <v>263</v>
      </c>
      <c r="M267" s="14"/>
      <c r="N267" s="11"/>
      <c r="O267" s="7">
        <v>263</v>
      </c>
      <c r="P267" s="14"/>
      <c r="Q267" s="11"/>
      <c r="R267" s="7">
        <v>263</v>
      </c>
      <c r="S267" s="14"/>
      <c r="T267" s="11"/>
      <c r="U267" s="14"/>
      <c r="V267" s="14"/>
      <c r="W267" s="11"/>
      <c r="X267" s="14"/>
      <c r="Y267" s="14"/>
      <c r="Z267" s="11"/>
      <c r="AA267" s="14"/>
      <c r="AB267" s="14"/>
      <c r="AC267" s="11"/>
      <c r="AD267" s="14"/>
      <c r="AE267" s="14"/>
      <c r="AF267" s="11" t="str">
        <f t="shared" si="42"/>
        <v/>
      </c>
      <c r="AG267" s="14"/>
      <c r="AH267" s="14"/>
      <c r="AI267" s="11" t="str">
        <f t="shared" si="43"/>
        <v/>
      </c>
      <c r="AJ267" s="14"/>
      <c r="AK267" s="11" t="str">
        <f t="shared" si="44"/>
        <v/>
      </c>
      <c r="AL267" s="11" t="str">
        <f t="shared" si="45"/>
        <v/>
      </c>
      <c r="AM267" s="11">
        <f t="shared" si="46"/>
        <v>0</v>
      </c>
      <c r="AN267" s="15" t="str">
        <f t="shared" si="47"/>
        <v/>
      </c>
      <c r="AO267" s="15"/>
      <c r="AP267" s="16"/>
      <c r="AQ267" s="21"/>
      <c r="BC267" s="60">
        <f t="shared" si="41"/>
        <v>0</v>
      </c>
      <c r="BJ267" s="60">
        <f t="shared" si="48"/>
        <v>0</v>
      </c>
    </row>
    <row r="268" spans="1:62" s="17" customFormat="1" x14ac:dyDescent="0.3">
      <c r="A268" s="23">
        <v>266</v>
      </c>
      <c r="B268" s="7"/>
      <c r="C268" s="14"/>
      <c r="D268" s="14"/>
      <c r="E268" s="11"/>
      <c r="F268" s="14"/>
      <c r="G268" s="14"/>
      <c r="H268" s="11"/>
      <c r="I268" s="7"/>
      <c r="J268" s="14"/>
      <c r="K268" s="11"/>
      <c r="L268" s="7">
        <v>264</v>
      </c>
      <c r="M268" s="14"/>
      <c r="N268" s="11"/>
      <c r="O268" s="7">
        <v>264</v>
      </c>
      <c r="P268" s="14"/>
      <c r="Q268" s="11"/>
      <c r="R268" s="7">
        <v>264</v>
      </c>
      <c r="S268" s="14"/>
      <c r="T268" s="11"/>
      <c r="U268" s="14"/>
      <c r="V268" s="14"/>
      <c r="W268" s="11"/>
      <c r="X268" s="14"/>
      <c r="Y268" s="14"/>
      <c r="Z268" s="11"/>
      <c r="AA268" s="14"/>
      <c r="AB268" s="14"/>
      <c r="AC268" s="11"/>
      <c r="AD268" s="14"/>
      <c r="AE268" s="14"/>
      <c r="AF268" s="11" t="str">
        <f t="shared" si="42"/>
        <v/>
      </c>
      <c r="AG268" s="14"/>
      <c r="AH268" s="14"/>
      <c r="AI268" s="11" t="str">
        <f t="shared" si="43"/>
        <v/>
      </c>
      <c r="AJ268" s="14"/>
      <c r="AK268" s="11" t="str">
        <f t="shared" si="44"/>
        <v/>
      </c>
      <c r="AL268" s="11" t="str">
        <f t="shared" si="45"/>
        <v/>
      </c>
      <c r="AM268" s="11">
        <f t="shared" si="46"/>
        <v>0</v>
      </c>
      <c r="AN268" s="15" t="str">
        <f t="shared" si="47"/>
        <v/>
      </c>
      <c r="AO268" s="15"/>
      <c r="AP268" s="16"/>
      <c r="AQ268" s="21"/>
      <c r="BC268" s="60">
        <f t="shared" si="41"/>
        <v>0</v>
      </c>
      <c r="BJ268" s="60">
        <f t="shared" si="48"/>
        <v>0</v>
      </c>
    </row>
    <row r="269" spans="1:62" s="17" customFormat="1" x14ac:dyDescent="0.3">
      <c r="A269" s="23">
        <v>267</v>
      </c>
      <c r="B269" s="7"/>
      <c r="C269" s="14"/>
      <c r="D269" s="14"/>
      <c r="E269" s="11"/>
      <c r="F269" s="14"/>
      <c r="G269" s="14"/>
      <c r="H269" s="11"/>
      <c r="I269" s="7"/>
      <c r="J269" s="14"/>
      <c r="K269" s="11"/>
      <c r="L269" s="7">
        <v>265</v>
      </c>
      <c r="M269" s="14"/>
      <c r="N269" s="11"/>
      <c r="O269" s="7">
        <v>265</v>
      </c>
      <c r="P269" s="14"/>
      <c r="Q269" s="11"/>
      <c r="R269" s="7">
        <v>265</v>
      </c>
      <c r="S269" s="14"/>
      <c r="T269" s="11"/>
      <c r="U269" s="14"/>
      <c r="V269" s="14"/>
      <c r="W269" s="11"/>
      <c r="X269" s="14"/>
      <c r="Y269" s="14"/>
      <c r="Z269" s="11"/>
      <c r="AA269" s="14"/>
      <c r="AB269" s="14"/>
      <c r="AC269" s="11"/>
      <c r="AD269" s="14"/>
      <c r="AE269" s="14"/>
      <c r="AF269" s="11" t="str">
        <f t="shared" si="42"/>
        <v/>
      </c>
      <c r="AG269" s="14"/>
      <c r="AH269" s="14"/>
      <c r="AI269" s="11" t="str">
        <f t="shared" si="43"/>
        <v/>
      </c>
      <c r="AJ269" s="14"/>
      <c r="AK269" s="11" t="str">
        <f t="shared" si="44"/>
        <v/>
      </c>
      <c r="AL269" s="11" t="str">
        <f t="shared" si="45"/>
        <v/>
      </c>
      <c r="AM269" s="11">
        <f t="shared" si="46"/>
        <v>0</v>
      </c>
      <c r="AN269" s="15" t="str">
        <f t="shared" si="47"/>
        <v/>
      </c>
      <c r="AO269" s="15"/>
      <c r="AP269" s="16"/>
      <c r="AQ269" s="21"/>
      <c r="BC269" s="60">
        <f t="shared" si="41"/>
        <v>0</v>
      </c>
      <c r="BJ269" s="60">
        <f t="shared" si="48"/>
        <v>0</v>
      </c>
    </row>
    <row r="270" spans="1:62" s="17" customFormat="1" x14ac:dyDescent="0.3">
      <c r="A270" s="23">
        <v>268</v>
      </c>
      <c r="B270" s="7"/>
      <c r="C270" s="14"/>
      <c r="D270" s="14"/>
      <c r="E270" s="11"/>
      <c r="F270" s="14"/>
      <c r="G270" s="14"/>
      <c r="H270" s="11"/>
      <c r="I270" s="7"/>
      <c r="J270" s="14"/>
      <c r="K270" s="11"/>
      <c r="L270" s="7">
        <v>266</v>
      </c>
      <c r="M270" s="14"/>
      <c r="N270" s="11"/>
      <c r="O270" s="7">
        <v>266</v>
      </c>
      <c r="P270" s="14"/>
      <c r="Q270" s="11"/>
      <c r="R270" s="7">
        <v>266</v>
      </c>
      <c r="S270" s="14"/>
      <c r="T270" s="11"/>
      <c r="U270" s="14"/>
      <c r="V270" s="14"/>
      <c r="W270" s="11"/>
      <c r="X270" s="14"/>
      <c r="Y270" s="14"/>
      <c r="Z270" s="11"/>
      <c r="AA270" s="14"/>
      <c r="AB270" s="14"/>
      <c r="AC270" s="11"/>
      <c r="AD270" s="14"/>
      <c r="AE270" s="14"/>
      <c r="AF270" s="11" t="str">
        <f t="shared" si="42"/>
        <v/>
      </c>
      <c r="AG270" s="14"/>
      <c r="AH270" s="14"/>
      <c r="AI270" s="11" t="str">
        <f t="shared" si="43"/>
        <v/>
      </c>
      <c r="AJ270" s="14"/>
      <c r="AK270" s="11" t="str">
        <f t="shared" si="44"/>
        <v/>
      </c>
      <c r="AL270" s="11" t="str">
        <f t="shared" si="45"/>
        <v/>
      </c>
      <c r="AM270" s="11">
        <f t="shared" si="46"/>
        <v>0</v>
      </c>
      <c r="AN270" s="15" t="str">
        <f t="shared" si="47"/>
        <v/>
      </c>
      <c r="AO270" s="15"/>
      <c r="AP270" s="16"/>
      <c r="AQ270" s="21"/>
      <c r="BC270" s="60">
        <f t="shared" si="41"/>
        <v>0</v>
      </c>
      <c r="BJ270" s="60">
        <f t="shared" si="48"/>
        <v>0</v>
      </c>
    </row>
    <row r="271" spans="1:62" s="17" customFormat="1" x14ac:dyDescent="0.3">
      <c r="A271" s="23">
        <v>269</v>
      </c>
      <c r="B271" s="7"/>
      <c r="C271" s="14"/>
      <c r="D271" s="14"/>
      <c r="E271" s="11"/>
      <c r="F271" s="14"/>
      <c r="G271" s="14"/>
      <c r="H271" s="11"/>
      <c r="I271" s="7"/>
      <c r="J271" s="14"/>
      <c r="K271" s="11"/>
      <c r="L271" s="7">
        <v>267</v>
      </c>
      <c r="M271" s="14"/>
      <c r="N271" s="11"/>
      <c r="O271" s="7">
        <v>267</v>
      </c>
      <c r="P271" s="14"/>
      <c r="Q271" s="11"/>
      <c r="R271" s="7">
        <v>267</v>
      </c>
      <c r="S271" s="14"/>
      <c r="T271" s="11"/>
      <c r="U271" s="14"/>
      <c r="V271" s="14"/>
      <c r="W271" s="11"/>
      <c r="X271" s="14"/>
      <c r="Y271" s="14"/>
      <c r="Z271" s="11"/>
      <c r="AA271" s="14"/>
      <c r="AB271" s="14"/>
      <c r="AC271" s="11"/>
      <c r="AD271" s="14"/>
      <c r="AE271" s="14"/>
      <c r="AF271" s="11" t="str">
        <f t="shared" si="42"/>
        <v/>
      </c>
      <c r="AG271" s="14"/>
      <c r="AH271" s="14"/>
      <c r="AI271" s="11" t="str">
        <f t="shared" si="43"/>
        <v/>
      </c>
      <c r="AJ271" s="14"/>
      <c r="AK271" s="11" t="str">
        <f t="shared" si="44"/>
        <v/>
      </c>
      <c r="AL271" s="11" t="str">
        <f t="shared" si="45"/>
        <v/>
      </c>
      <c r="AM271" s="11">
        <f t="shared" si="46"/>
        <v>0</v>
      </c>
      <c r="AN271" s="15" t="str">
        <f t="shared" si="47"/>
        <v/>
      </c>
      <c r="AO271" s="15"/>
      <c r="AP271" s="16"/>
      <c r="AQ271" s="21"/>
      <c r="BC271" s="60">
        <f t="shared" si="41"/>
        <v>0</v>
      </c>
      <c r="BJ271" s="60">
        <f t="shared" si="48"/>
        <v>0</v>
      </c>
    </row>
    <row r="272" spans="1:62" s="17" customFormat="1" x14ac:dyDescent="0.3">
      <c r="A272" s="23">
        <v>270</v>
      </c>
      <c r="B272" s="7"/>
      <c r="C272" s="14"/>
      <c r="D272" s="14"/>
      <c r="E272" s="11"/>
      <c r="F272" s="14"/>
      <c r="G272" s="14"/>
      <c r="H272" s="11"/>
      <c r="I272" s="7"/>
      <c r="J272" s="14"/>
      <c r="K272" s="11"/>
      <c r="L272" s="7">
        <v>268</v>
      </c>
      <c r="M272" s="14"/>
      <c r="N272" s="11"/>
      <c r="O272" s="7">
        <v>268</v>
      </c>
      <c r="P272" s="14"/>
      <c r="Q272" s="11"/>
      <c r="R272" s="7">
        <v>268</v>
      </c>
      <c r="S272" s="14"/>
      <c r="T272" s="11"/>
      <c r="U272" s="14"/>
      <c r="V272" s="14"/>
      <c r="W272" s="11"/>
      <c r="X272" s="14"/>
      <c r="Y272" s="14"/>
      <c r="Z272" s="11"/>
      <c r="AA272" s="14"/>
      <c r="AB272" s="14"/>
      <c r="AC272" s="11"/>
      <c r="AD272" s="14"/>
      <c r="AE272" s="14"/>
      <c r="AF272" s="11" t="str">
        <f t="shared" si="42"/>
        <v/>
      </c>
      <c r="AG272" s="14"/>
      <c r="AH272" s="14"/>
      <c r="AI272" s="11" t="str">
        <f t="shared" si="43"/>
        <v/>
      </c>
      <c r="AJ272" s="14"/>
      <c r="AK272" s="11" t="str">
        <f t="shared" si="44"/>
        <v/>
      </c>
      <c r="AL272" s="11" t="str">
        <f t="shared" si="45"/>
        <v/>
      </c>
      <c r="AM272" s="11">
        <f t="shared" si="46"/>
        <v>0</v>
      </c>
      <c r="AN272" s="15" t="str">
        <f t="shared" si="47"/>
        <v/>
      </c>
      <c r="AO272" s="15"/>
      <c r="AP272" s="16"/>
      <c r="AQ272" s="21"/>
      <c r="BC272" s="60">
        <f t="shared" si="41"/>
        <v>0</v>
      </c>
      <c r="BJ272" s="60">
        <f t="shared" si="48"/>
        <v>0</v>
      </c>
    </row>
    <row r="273" spans="1:62" s="17" customFormat="1" x14ac:dyDescent="0.3">
      <c r="A273" s="23">
        <v>271</v>
      </c>
      <c r="B273" s="7"/>
      <c r="C273" s="14"/>
      <c r="D273" s="14"/>
      <c r="E273" s="11"/>
      <c r="F273" s="14"/>
      <c r="G273" s="14"/>
      <c r="H273" s="11"/>
      <c r="I273" s="7"/>
      <c r="J273" s="14"/>
      <c r="K273" s="11"/>
      <c r="L273" s="7">
        <v>269</v>
      </c>
      <c r="M273" s="14"/>
      <c r="N273" s="11"/>
      <c r="O273" s="7">
        <v>269</v>
      </c>
      <c r="P273" s="14"/>
      <c r="Q273" s="11"/>
      <c r="R273" s="7">
        <v>269</v>
      </c>
      <c r="S273" s="14"/>
      <c r="T273" s="11"/>
      <c r="U273" s="14"/>
      <c r="V273" s="14"/>
      <c r="W273" s="11"/>
      <c r="X273" s="14"/>
      <c r="Y273" s="14"/>
      <c r="Z273" s="11"/>
      <c r="AA273" s="14"/>
      <c r="AB273" s="14"/>
      <c r="AC273" s="11"/>
      <c r="AD273" s="14"/>
      <c r="AE273" s="14"/>
      <c r="AF273" s="11" t="str">
        <f t="shared" si="42"/>
        <v/>
      </c>
      <c r="AG273" s="14"/>
      <c r="AH273" s="14"/>
      <c r="AI273" s="11" t="str">
        <f t="shared" si="43"/>
        <v/>
      </c>
      <c r="AJ273" s="14"/>
      <c r="AK273" s="11" t="str">
        <f t="shared" si="44"/>
        <v/>
      </c>
      <c r="AL273" s="11" t="str">
        <f t="shared" si="45"/>
        <v/>
      </c>
      <c r="AM273" s="11">
        <f t="shared" si="46"/>
        <v>0</v>
      </c>
      <c r="AN273" s="15" t="str">
        <f t="shared" si="47"/>
        <v/>
      </c>
      <c r="AO273" s="15"/>
      <c r="AP273" s="16"/>
      <c r="AQ273" s="21"/>
      <c r="BC273" s="60">
        <f t="shared" si="41"/>
        <v>0</v>
      </c>
      <c r="BJ273" s="60">
        <f t="shared" si="48"/>
        <v>0</v>
      </c>
    </row>
    <row r="274" spans="1:62" s="17" customFormat="1" x14ac:dyDescent="0.3">
      <c r="A274" s="23">
        <v>272</v>
      </c>
      <c r="B274" s="7"/>
      <c r="C274" s="14"/>
      <c r="D274" s="14"/>
      <c r="E274" s="11"/>
      <c r="F274" s="14"/>
      <c r="G274" s="14"/>
      <c r="H274" s="11"/>
      <c r="I274" s="7"/>
      <c r="J274" s="14"/>
      <c r="K274" s="11"/>
      <c r="L274" s="7">
        <v>270</v>
      </c>
      <c r="M274" s="14"/>
      <c r="N274" s="11"/>
      <c r="O274" s="7">
        <v>270</v>
      </c>
      <c r="P274" s="14"/>
      <c r="Q274" s="11"/>
      <c r="R274" s="7">
        <v>270</v>
      </c>
      <c r="S274" s="14"/>
      <c r="T274" s="11"/>
      <c r="U274" s="14"/>
      <c r="V274" s="14"/>
      <c r="W274" s="11"/>
      <c r="X274" s="14"/>
      <c r="Y274" s="14"/>
      <c r="Z274" s="11"/>
      <c r="AA274" s="14"/>
      <c r="AB274" s="14"/>
      <c r="AC274" s="11"/>
      <c r="AD274" s="14"/>
      <c r="AE274" s="14"/>
      <c r="AF274" s="11" t="str">
        <f t="shared" si="42"/>
        <v/>
      </c>
      <c r="AG274" s="14"/>
      <c r="AH274" s="14"/>
      <c r="AI274" s="11" t="str">
        <f t="shared" si="43"/>
        <v/>
      </c>
      <c r="AJ274" s="14"/>
      <c r="AK274" s="11" t="str">
        <f t="shared" si="44"/>
        <v/>
      </c>
      <c r="AL274" s="11" t="str">
        <f t="shared" si="45"/>
        <v/>
      </c>
      <c r="AM274" s="11">
        <f t="shared" si="46"/>
        <v>0</v>
      </c>
      <c r="AN274" s="15" t="str">
        <f t="shared" si="47"/>
        <v/>
      </c>
      <c r="AO274" s="15"/>
      <c r="AP274" s="16"/>
      <c r="AQ274" s="21"/>
      <c r="BC274" s="60">
        <f t="shared" si="41"/>
        <v>0</v>
      </c>
      <c r="BJ274" s="60">
        <f t="shared" si="48"/>
        <v>0</v>
      </c>
    </row>
    <row r="275" spans="1:62" s="17" customFormat="1" x14ac:dyDescent="0.3">
      <c r="A275" s="23">
        <v>273</v>
      </c>
      <c r="B275" s="7"/>
      <c r="C275" s="14"/>
      <c r="D275" s="14"/>
      <c r="E275" s="11"/>
      <c r="F275" s="14"/>
      <c r="G275" s="14"/>
      <c r="H275" s="11"/>
      <c r="I275" s="7"/>
      <c r="J275" s="14"/>
      <c r="K275" s="11"/>
      <c r="L275" s="7">
        <v>271</v>
      </c>
      <c r="M275" s="14"/>
      <c r="N275" s="11"/>
      <c r="O275" s="7">
        <v>271</v>
      </c>
      <c r="P275" s="14"/>
      <c r="Q275" s="11"/>
      <c r="R275" s="7">
        <v>271</v>
      </c>
      <c r="S275" s="14"/>
      <c r="T275" s="11"/>
      <c r="U275" s="14"/>
      <c r="V275" s="14"/>
      <c r="W275" s="11"/>
      <c r="X275" s="14"/>
      <c r="Y275" s="14"/>
      <c r="Z275" s="11"/>
      <c r="AA275" s="14"/>
      <c r="AB275" s="14"/>
      <c r="AC275" s="11"/>
      <c r="AD275" s="14"/>
      <c r="AE275" s="14"/>
      <c r="AF275" s="11" t="str">
        <f t="shared" si="42"/>
        <v/>
      </c>
      <c r="AG275" s="14"/>
      <c r="AH275" s="14"/>
      <c r="AI275" s="11" t="str">
        <f t="shared" si="43"/>
        <v/>
      </c>
      <c r="AJ275" s="14"/>
      <c r="AK275" s="11" t="str">
        <f t="shared" si="44"/>
        <v/>
      </c>
      <c r="AL275" s="11" t="str">
        <f t="shared" si="45"/>
        <v/>
      </c>
      <c r="AM275" s="11">
        <f t="shared" si="46"/>
        <v>0</v>
      </c>
      <c r="AN275" s="15" t="str">
        <f t="shared" si="47"/>
        <v/>
      </c>
      <c r="AO275" s="15"/>
      <c r="AP275" s="16"/>
      <c r="AQ275" s="21"/>
      <c r="BC275" s="60">
        <f t="shared" si="41"/>
        <v>0</v>
      </c>
      <c r="BJ275" s="60">
        <f t="shared" si="48"/>
        <v>0</v>
      </c>
    </row>
    <row r="276" spans="1:62" s="17" customFormat="1" x14ac:dyDescent="0.3">
      <c r="A276" s="23">
        <v>274</v>
      </c>
      <c r="B276" s="7"/>
      <c r="C276" s="14"/>
      <c r="D276" s="14"/>
      <c r="E276" s="11"/>
      <c r="F276" s="14"/>
      <c r="G276" s="14"/>
      <c r="H276" s="11"/>
      <c r="I276" s="7"/>
      <c r="J276" s="14"/>
      <c r="K276" s="11"/>
      <c r="L276" s="7">
        <v>272</v>
      </c>
      <c r="M276" s="14"/>
      <c r="N276" s="11"/>
      <c r="O276" s="7">
        <v>272</v>
      </c>
      <c r="P276" s="14"/>
      <c r="Q276" s="11"/>
      <c r="R276" s="7">
        <v>272</v>
      </c>
      <c r="S276" s="14"/>
      <c r="T276" s="11"/>
      <c r="U276" s="14"/>
      <c r="V276" s="14"/>
      <c r="W276" s="11"/>
      <c r="X276" s="14"/>
      <c r="Y276" s="14"/>
      <c r="Z276" s="11"/>
      <c r="AA276" s="14"/>
      <c r="AB276" s="14"/>
      <c r="AC276" s="11"/>
      <c r="AD276" s="14"/>
      <c r="AE276" s="14"/>
      <c r="AF276" s="11" t="str">
        <f t="shared" si="42"/>
        <v/>
      </c>
      <c r="AG276" s="14"/>
      <c r="AH276" s="14"/>
      <c r="AI276" s="11" t="str">
        <f t="shared" si="43"/>
        <v/>
      </c>
      <c r="AJ276" s="14"/>
      <c r="AK276" s="11" t="str">
        <f t="shared" si="44"/>
        <v/>
      </c>
      <c r="AL276" s="11" t="str">
        <f t="shared" si="45"/>
        <v/>
      </c>
      <c r="AM276" s="11">
        <f t="shared" si="46"/>
        <v>0</v>
      </c>
      <c r="AN276" s="15" t="str">
        <f t="shared" si="47"/>
        <v/>
      </c>
      <c r="AO276" s="15"/>
      <c r="AP276" s="16"/>
      <c r="AQ276" s="21"/>
      <c r="BC276" s="60">
        <f t="shared" si="41"/>
        <v>0</v>
      </c>
      <c r="BJ276" s="60">
        <f t="shared" si="48"/>
        <v>0</v>
      </c>
    </row>
    <row r="277" spans="1:62" s="17" customFormat="1" x14ac:dyDescent="0.3">
      <c r="A277" s="23">
        <v>275</v>
      </c>
      <c r="B277" s="7"/>
      <c r="C277" s="14"/>
      <c r="D277" s="14"/>
      <c r="E277" s="11"/>
      <c r="F277" s="14"/>
      <c r="G277" s="14"/>
      <c r="H277" s="11"/>
      <c r="I277" s="7"/>
      <c r="J277" s="14"/>
      <c r="K277" s="11"/>
      <c r="L277" s="7">
        <v>273</v>
      </c>
      <c r="M277" s="14"/>
      <c r="N277" s="11"/>
      <c r="O277" s="7">
        <v>273</v>
      </c>
      <c r="P277" s="14"/>
      <c r="Q277" s="11"/>
      <c r="R277" s="7">
        <v>273</v>
      </c>
      <c r="S277" s="14"/>
      <c r="T277" s="11"/>
      <c r="U277" s="14"/>
      <c r="V277" s="14"/>
      <c r="W277" s="11"/>
      <c r="X277" s="14"/>
      <c r="Y277" s="14"/>
      <c r="Z277" s="11"/>
      <c r="AA277" s="14"/>
      <c r="AB277" s="14"/>
      <c r="AC277" s="11"/>
      <c r="AD277" s="14"/>
      <c r="AE277" s="14"/>
      <c r="AF277" s="11" t="str">
        <f t="shared" si="42"/>
        <v/>
      </c>
      <c r="AG277" s="14"/>
      <c r="AH277" s="14"/>
      <c r="AI277" s="11" t="str">
        <f t="shared" si="43"/>
        <v/>
      </c>
      <c r="AJ277" s="14"/>
      <c r="AK277" s="11" t="str">
        <f t="shared" si="44"/>
        <v/>
      </c>
      <c r="AL277" s="11" t="str">
        <f t="shared" si="45"/>
        <v/>
      </c>
      <c r="AM277" s="11">
        <f t="shared" si="46"/>
        <v>0</v>
      </c>
      <c r="AN277" s="15" t="str">
        <f t="shared" si="47"/>
        <v/>
      </c>
      <c r="AO277" s="15"/>
      <c r="AP277" s="16"/>
      <c r="AQ277" s="21"/>
      <c r="BC277" s="60">
        <f t="shared" si="41"/>
        <v>0</v>
      </c>
      <c r="BJ277" s="60">
        <f t="shared" si="48"/>
        <v>0</v>
      </c>
    </row>
    <row r="278" spans="1:62" s="17" customFormat="1" x14ac:dyDescent="0.3">
      <c r="A278" s="23">
        <v>276</v>
      </c>
      <c r="B278" s="7"/>
      <c r="C278" s="14"/>
      <c r="D278" s="14"/>
      <c r="E278" s="11"/>
      <c r="F278" s="14"/>
      <c r="G278" s="14"/>
      <c r="H278" s="11"/>
      <c r="I278" s="7"/>
      <c r="J278" s="14"/>
      <c r="K278" s="11"/>
      <c r="L278" s="7">
        <v>274</v>
      </c>
      <c r="M278" s="14"/>
      <c r="N278" s="11"/>
      <c r="O278" s="7">
        <v>274</v>
      </c>
      <c r="P278" s="14"/>
      <c r="Q278" s="11"/>
      <c r="R278" s="7">
        <v>274</v>
      </c>
      <c r="S278" s="14"/>
      <c r="T278" s="11"/>
      <c r="U278" s="14"/>
      <c r="V278" s="14"/>
      <c r="W278" s="11"/>
      <c r="X278" s="14"/>
      <c r="Y278" s="14"/>
      <c r="Z278" s="11"/>
      <c r="AA278" s="14"/>
      <c r="AB278" s="14"/>
      <c r="AC278" s="11"/>
      <c r="AD278" s="14"/>
      <c r="AE278" s="14"/>
      <c r="AF278" s="11" t="str">
        <f t="shared" si="42"/>
        <v/>
      </c>
      <c r="AG278" s="14"/>
      <c r="AH278" s="14"/>
      <c r="AI278" s="11" t="str">
        <f t="shared" si="43"/>
        <v/>
      </c>
      <c r="AJ278" s="14"/>
      <c r="AK278" s="11" t="str">
        <f t="shared" si="44"/>
        <v/>
      </c>
      <c r="AL278" s="11" t="str">
        <f t="shared" si="45"/>
        <v/>
      </c>
      <c r="AM278" s="11">
        <f t="shared" si="46"/>
        <v>0</v>
      </c>
      <c r="AN278" s="15" t="str">
        <f t="shared" si="47"/>
        <v/>
      </c>
      <c r="AO278" s="15"/>
      <c r="AP278" s="16"/>
      <c r="AQ278" s="21"/>
      <c r="BC278" s="60">
        <f t="shared" si="41"/>
        <v>0</v>
      </c>
      <c r="BJ278" s="60">
        <f t="shared" si="48"/>
        <v>0</v>
      </c>
    </row>
    <row r="279" spans="1:62" s="17" customFormat="1" x14ac:dyDescent="0.3">
      <c r="A279" s="23">
        <v>277</v>
      </c>
      <c r="B279" s="7"/>
      <c r="C279" s="14"/>
      <c r="D279" s="14"/>
      <c r="E279" s="11"/>
      <c r="F279" s="14"/>
      <c r="G279" s="14"/>
      <c r="H279" s="11"/>
      <c r="I279" s="7"/>
      <c r="J279" s="14"/>
      <c r="K279" s="11"/>
      <c r="L279" s="7">
        <v>275</v>
      </c>
      <c r="M279" s="14"/>
      <c r="N279" s="11"/>
      <c r="O279" s="7">
        <v>275</v>
      </c>
      <c r="P279" s="14"/>
      <c r="Q279" s="11"/>
      <c r="R279" s="7">
        <v>275</v>
      </c>
      <c r="S279" s="14"/>
      <c r="T279" s="11"/>
      <c r="U279" s="14"/>
      <c r="V279" s="14"/>
      <c r="W279" s="11"/>
      <c r="X279" s="14"/>
      <c r="Y279" s="14"/>
      <c r="Z279" s="11"/>
      <c r="AA279" s="14"/>
      <c r="AB279" s="14"/>
      <c r="AC279" s="11"/>
      <c r="AD279" s="14"/>
      <c r="AE279" s="14"/>
      <c r="AF279" s="11" t="str">
        <f t="shared" si="42"/>
        <v/>
      </c>
      <c r="AG279" s="14"/>
      <c r="AH279" s="14"/>
      <c r="AI279" s="11" t="str">
        <f t="shared" si="43"/>
        <v/>
      </c>
      <c r="AJ279" s="14"/>
      <c r="AK279" s="11" t="str">
        <f t="shared" si="44"/>
        <v/>
      </c>
      <c r="AL279" s="11" t="str">
        <f t="shared" si="45"/>
        <v/>
      </c>
      <c r="AM279" s="11">
        <f t="shared" si="46"/>
        <v>0</v>
      </c>
      <c r="AN279" s="15" t="str">
        <f t="shared" si="47"/>
        <v/>
      </c>
      <c r="AO279" s="15"/>
      <c r="AP279" s="16"/>
      <c r="AQ279" s="21"/>
      <c r="BC279" s="60">
        <f t="shared" si="41"/>
        <v>0</v>
      </c>
      <c r="BJ279" s="60">
        <f t="shared" si="48"/>
        <v>0</v>
      </c>
    </row>
    <row r="280" spans="1:62" s="17" customFormat="1" x14ac:dyDescent="0.3">
      <c r="A280" s="23">
        <v>278</v>
      </c>
      <c r="B280" s="7"/>
      <c r="C280" s="14"/>
      <c r="D280" s="14"/>
      <c r="E280" s="11"/>
      <c r="F280" s="14"/>
      <c r="G280" s="14"/>
      <c r="H280" s="11"/>
      <c r="I280" s="7"/>
      <c r="J280" s="14"/>
      <c r="K280" s="11"/>
      <c r="L280" s="7">
        <v>276</v>
      </c>
      <c r="M280" s="14"/>
      <c r="N280" s="11"/>
      <c r="O280" s="7">
        <v>276</v>
      </c>
      <c r="P280" s="14"/>
      <c r="Q280" s="11"/>
      <c r="R280" s="7">
        <v>276</v>
      </c>
      <c r="S280" s="14"/>
      <c r="T280" s="11"/>
      <c r="U280" s="14"/>
      <c r="V280" s="14"/>
      <c r="W280" s="11"/>
      <c r="X280" s="14"/>
      <c r="Y280" s="14"/>
      <c r="Z280" s="11"/>
      <c r="AA280" s="14"/>
      <c r="AB280" s="14"/>
      <c r="AC280" s="11"/>
      <c r="AD280" s="14"/>
      <c r="AE280" s="14"/>
      <c r="AF280" s="11" t="str">
        <f t="shared" si="42"/>
        <v/>
      </c>
      <c r="AG280" s="14"/>
      <c r="AH280" s="14"/>
      <c r="AI280" s="11" t="str">
        <f t="shared" si="43"/>
        <v/>
      </c>
      <c r="AJ280" s="14"/>
      <c r="AK280" s="11" t="str">
        <f t="shared" si="44"/>
        <v/>
      </c>
      <c r="AL280" s="11" t="str">
        <f t="shared" si="45"/>
        <v/>
      </c>
      <c r="AM280" s="11">
        <f t="shared" si="46"/>
        <v>0</v>
      </c>
      <c r="AN280" s="15" t="str">
        <f t="shared" si="47"/>
        <v/>
      </c>
      <c r="AO280" s="15"/>
      <c r="AP280" s="16"/>
      <c r="AQ280" s="21"/>
      <c r="BC280" s="60">
        <f t="shared" si="41"/>
        <v>0</v>
      </c>
      <c r="BJ280" s="60">
        <f t="shared" si="48"/>
        <v>0</v>
      </c>
    </row>
    <row r="281" spans="1:62" s="17" customFormat="1" x14ac:dyDescent="0.3">
      <c r="A281" s="23">
        <v>279</v>
      </c>
      <c r="B281" s="7"/>
      <c r="C281" s="14"/>
      <c r="D281" s="14"/>
      <c r="E281" s="11"/>
      <c r="F281" s="14"/>
      <c r="G281" s="14"/>
      <c r="H281" s="11"/>
      <c r="I281" s="7"/>
      <c r="J281" s="14"/>
      <c r="K281" s="11"/>
      <c r="L281" s="7">
        <v>277</v>
      </c>
      <c r="M281" s="14"/>
      <c r="N281" s="11"/>
      <c r="O281" s="7">
        <v>277</v>
      </c>
      <c r="P281" s="14"/>
      <c r="Q281" s="11"/>
      <c r="R281" s="7">
        <v>277</v>
      </c>
      <c r="S281" s="14"/>
      <c r="T281" s="11"/>
      <c r="U281" s="14"/>
      <c r="V281" s="14"/>
      <c r="W281" s="11"/>
      <c r="X281" s="14"/>
      <c r="Y281" s="14"/>
      <c r="Z281" s="11"/>
      <c r="AA281" s="14"/>
      <c r="AB281" s="14"/>
      <c r="AC281" s="11"/>
      <c r="AD281" s="14"/>
      <c r="AE281" s="14"/>
      <c r="AF281" s="11" t="str">
        <f t="shared" si="42"/>
        <v/>
      </c>
      <c r="AG281" s="14"/>
      <c r="AH281" s="14"/>
      <c r="AI281" s="11" t="str">
        <f t="shared" si="43"/>
        <v/>
      </c>
      <c r="AJ281" s="14"/>
      <c r="AK281" s="11" t="str">
        <f t="shared" si="44"/>
        <v/>
      </c>
      <c r="AL281" s="11" t="str">
        <f t="shared" si="45"/>
        <v/>
      </c>
      <c r="AM281" s="11">
        <f t="shared" si="46"/>
        <v>0</v>
      </c>
      <c r="AN281" s="15" t="str">
        <f t="shared" si="47"/>
        <v/>
      </c>
      <c r="AO281" s="15"/>
      <c r="AP281" s="16"/>
      <c r="AQ281" s="21"/>
      <c r="BC281" s="60">
        <f t="shared" si="41"/>
        <v>0</v>
      </c>
      <c r="BJ281" s="60">
        <f t="shared" si="48"/>
        <v>0</v>
      </c>
    </row>
    <row r="282" spans="1:62" s="17" customFormat="1" x14ac:dyDescent="0.3">
      <c r="A282" s="23">
        <v>280</v>
      </c>
      <c r="B282" s="7"/>
      <c r="C282" s="14"/>
      <c r="D282" s="14"/>
      <c r="E282" s="11"/>
      <c r="F282" s="14"/>
      <c r="G282" s="14"/>
      <c r="H282" s="11"/>
      <c r="I282" s="7"/>
      <c r="J282" s="14"/>
      <c r="K282" s="11"/>
      <c r="L282" s="7">
        <v>278</v>
      </c>
      <c r="M282" s="14"/>
      <c r="N282" s="11"/>
      <c r="O282" s="7">
        <v>278</v>
      </c>
      <c r="P282" s="14"/>
      <c r="Q282" s="11"/>
      <c r="R282" s="7">
        <v>278</v>
      </c>
      <c r="S282" s="14"/>
      <c r="T282" s="11"/>
      <c r="U282" s="14"/>
      <c r="V282" s="14"/>
      <c r="W282" s="11"/>
      <c r="X282" s="14"/>
      <c r="Y282" s="14"/>
      <c r="Z282" s="11"/>
      <c r="AA282" s="14"/>
      <c r="AB282" s="14"/>
      <c r="AC282" s="11"/>
      <c r="AD282" s="14"/>
      <c r="AE282" s="14"/>
      <c r="AF282" s="11" t="str">
        <f t="shared" si="42"/>
        <v/>
      </c>
      <c r="AG282" s="14"/>
      <c r="AH282" s="14"/>
      <c r="AI282" s="11" t="str">
        <f t="shared" si="43"/>
        <v/>
      </c>
      <c r="AJ282" s="14"/>
      <c r="AK282" s="11" t="str">
        <f t="shared" si="44"/>
        <v/>
      </c>
      <c r="AL282" s="11" t="str">
        <f t="shared" si="45"/>
        <v/>
      </c>
      <c r="AM282" s="11">
        <f t="shared" si="46"/>
        <v>0</v>
      </c>
      <c r="AN282" s="15" t="str">
        <f t="shared" si="47"/>
        <v/>
      </c>
      <c r="AO282" s="15"/>
      <c r="AP282" s="16"/>
      <c r="AQ282" s="21"/>
      <c r="BC282" s="60">
        <f t="shared" si="41"/>
        <v>0</v>
      </c>
      <c r="BJ282" s="60">
        <f t="shared" si="48"/>
        <v>0</v>
      </c>
    </row>
    <row r="283" spans="1:62" s="17" customFormat="1" x14ac:dyDescent="0.3">
      <c r="A283" s="23">
        <v>281</v>
      </c>
      <c r="B283" s="7"/>
      <c r="C283" s="14"/>
      <c r="D283" s="14"/>
      <c r="E283" s="11"/>
      <c r="F283" s="14"/>
      <c r="G283" s="14"/>
      <c r="H283" s="11"/>
      <c r="I283" s="7"/>
      <c r="J283" s="14"/>
      <c r="K283" s="11"/>
      <c r="L283" s="7">
        <v>279</v>
      </c>
      <c r="M283" s="14"/>
      <c r="N283" s="11"/>
      <c r="O283" s="7">
        <v>279</v>
      </c>
      <c r="P283" s="14"/>
      <c r="Q283" s="11"/>
      <c r="R283" s="7">
        <v>279</v>
      </c>
      <c r="S283" s="14"/>
      <c r="T283" s="11"/>
      <c r="U283" s="14"/>
      <c r="V283" s="14"/>
      <c r="W283" s="11"/>
      <c r="X283" s="14"/>
      <c r="Y283" s="14"/>
      <c r="Z283" s="11"/>
      <c r="AA283" s="14"/>
      <c r="AB283" s="14"/>
      <c r="AC283" s="11"/>
      <c r="AD283" s="14"/>
      <c r="AE283" s="14"/>
      <c r="AF283" s="11" t="str">
        <f t="shared" si="42"/>
        <v/>
      </c>
      <c r="AG283" s="14"/>
      <c r="AH283" s="14"/>
      <c r="AI283" s="11" t="str">
        <f t="shared" si="43"/>
        <v/>
      </c>
      <c r="AJ283" s="14"/>
      <c r="AK283" s="11" t="str">
        <f t="shared" si="44"/>
        <v/>
      </c>
      <c r="AL283" s="11" t="str">
        <f t="shared" si="45"/>
        <v/>
      </c>
      <c r="AM283" s="11">
        <f t="shared" si="46"/>
        <v>0</v>
      </c>
      <c r="AN283" s="15" t="str">
        <f t="shared" si="47"/>
        <v/>
      </c>
      <c r="AO283" s="15"/>
      <c r="AP283" s="16"/>
      <c r="AQ283" s="21"/>
      <c r="BC283" s="60">
        <f t="shared" si="41"/>
        <v>0</v>
      </c>
      <c r="BJ283" s="60">
        <f t="shared" si="48"/>
        <v>0</v>
      </c>
    </row>
    <row r="284" spans="1:62" s="17" customFormat="1" x14ac:dyDescent="0.3">
      <c r="A284" s="23">
        <v>282</v>
      </c>
      <c r="B284" s="7"/>
      <c r="C284" s="14"/>
      <c r="D284" s="14"/>
      <c r="E284" s="11"/>
      <c r="F284" s="14"/>
      <c r="G284" s="14"/>
      <c r="H284" s="11"/>
      <c r="I284" s="7"/>
      <c r="J284" s="14"/>
      <c r="K284" s="11"/>
      <c r="L284" s="7">
        <v>280</v>
      </c>
      <c r="M284" s="14"/>
      <c r="N284" s="11"/>
      <c r="O284" s="7">
        <v>280</v>
      </c>
      <c r="P284" s="14"/>
      <c r="Q284" s="11"/>
      <c r="R284" s="7">
        <v>280</v>
      </c>
      <c r="S284" s="14"/>
      <c r="T284" s="11"/>
      <c r="U284" s="14"/>
      <c r="V284" s="14"/>
      <c r="W284" s="11"/>
      <c r="X284" s="14"/>
      <c r="Y284" s="14"/>
      <c r="Z284" s="11"/>
      <c r="AA284" s="14"/>
      <c r="AB284" s="14"/>
      <c r="AC284" s="11"/>
      <c r="AD284" s="14"/>
      <c r="AE284" s="14"/>
      <c r="AF284" s="11" t="str">
        <f t="shared" si="42"/>
        <v/>
      </c>
      <c r="AG284" s="14"/>
      <c r="AH284" s="14"/>
      <c r="AI284" s="11" t="str">
        <f t="shared" si="43"/>
        <v/>
      </c>
      <c r="AJ284" s="14"/>
      <c r="AK284" s="11" t="str">
        <f t="shared" si="44"/>
        <v/>
      </c>
      <c r="AL284" s="11" t="str">
        <f t="shared" si="45"/>
        <v/>
      </c>
      <c r="AM284" s="11">
        <f t="shared" si="46"/>
        <v>0</v>
      </c>
      <c r="AN284" s="15" t="str">
        <f t="shared" si="47"/>
        <v/>
      </c>
      <c r="AO284" s="15"/>
      <c r="AP284" s="16"/>
      <c r="AQ284" s="21"/>
      <c r="BC284" s="60">
        <f t="shared" si="41"/>
        <v>0</v>
      </c>
      <c r="BJ284" s="60">
        <f t="shared" si="48"/>
        <v>0</v>
      </c>
    </row>
    <row r="285" spans="1:62" s="17" customFormat="1" x14ac:dyDescent="0.3">
      <c r="A285" s="23">
        <v>283</v>
      </c>
      <c r="B285" s="7"/>
      <c r="C285" s="14"/>
      <c r="D285" s="14"/>
      <c r="E285" s="11"/>
      <c r="F285" s="14"/>
      <c r="G285" s="14"/>
      <c r="H285" s="11"/>
      <c r="I285" s="7"/>
      <c r="J285" s="14"/>
      <c r="K285" s="11"/>
      <c r="L285" s="7">
        <v>281</v>
      </c>
      <c r="M285" s="14"/>
      <c r="N285" s="11"/>
      <c r="O285" s="7">
        <v>281</v>
      </c>
      <c r="P285" s="14"/>
      <c r="Q285" s="11"/>
      <c r="R285" s="7">
        <v>281</v>
      </c>
      <c r="S285" s="14"/>
      <c r="T285" s="11"/>
      <c r="U285" s="14"/>
      <c r="V285" s="14"/>
      <c r="W285" s="11"/>
      <c r="X285" s="14"/>
      <c r="Y285" s="14"/>
      <c r="Z285" s="11"/>
      <c r="AA285" s="14"/>
      <c r="AB285" s="14"/>
      <c r="AC285" s="11"/>
      <c r="AD285" s="14"/>
      <c r="AE285" s="14"/>
      <c r="AF285" s="11" t="str">
        <f t="shared" si="42"/>
        <v/>
      </c>
      <c r="AG285" s="14"/>
      <c r="AH285" s="14"/>
      <c r="AI285" s="11" t="str">
        <f t="shared" si="43"/>
        <v/>
      </c>
      <c r="AJ285" s="14"/>
      <c r="AK285" s="11" t="str">
        <f t="shared" si="44"/>
        <v/>
      </c>
      <c r="AL285" s="11" t="str">
        <f t="shared" si="45"/>
        <v/>
      </c>
      <c r="AM285" s="11">
        <f t="shared" si="46"/>
        <v>0</v>
      </c>
      <c r="AN285" s="15" t="str">
        <f t="shared" si="47"/>
        <v/>
      </c>
      <c r="AO285" s="15"/>
      <c r="AP285" s="16"/>
      <c r="AQ285" s="21"/>
      <c r="BC285" s="60">
        <f t="shared" si="41"/>
        <v>0</v>
      </c>
      <c r="BJ285" s="60">
        <f t="shared" si="48"/>
        <v>0</v>
      </c>
    </row>
    <row r="286" spans="1:62" s="17" customFormat="1" x14ac:dyDescent="0.3">
      <c r="A286" s="23">
        <v>284</v>
      </c>
      <c r="B286" s="7"/>
      <c r="C286" s="14"/>
      <c r="D286" s="14"/>
      <c r="E286" s="11"/>
      <c r="F286" s="14"/>
      <c r="G286" s="14"/>
      <c r="H286" s="11"/>
      <c r="I286" s="7"/>
      <c r="J286" s="14"/>
      <c r="K286" s="11"/>
      <c r="L286" s="7">
        <v>282</v>
      </c>
      <c r="M286" s="14"/>
      <c r="N286" s="11"/>
      <c r="O286" s="7">
        <v>282</v>
      </c>
      <c r="P286" s="14"/>
      <c r="Q286" s="11"/>
      <c r="R286" s="7">
        <v>282</v>
      </c>
      <c r="S286" s="14"/>
      <c r="T286" s="11"/>
      <c r="U286" s="14"/>
      <c r="V286" s="14"/>
      <c r="W286" s="11"/>
      <c r="X286" s="14"/>
      <c r="Y286" s="14"/>
      <c r="Z286" s="11"/>
      <c r="AA286" s="14"/>
      <c r="AB286" s="14"/>
      <c r="AC286" s="11"/>
      <c r="AD286" s="14"/>
      <c r="AE286" s="14"/>
      <c r="AF286" s="11" t="str">
        <f t="shared" si="42"/>
        <v/>
      </c>
      <c r="AG286" s="14"/>
      <c r="AH286" s="14"/>
      <c r="AI286" s="11" t="str">
        <f t="shared" si="43"/>
        <v/>
      </c>
      <c r="AJ286" s="14"/>
      <c r="AK286" s="11" t="str">
        <f t="shared" si="44"/>
        <v/>
      </c>
      <c r="AL286" s="11" t="str">
        <f t="shared" si="45"/>
        <v/>
      </c>
      <c r="AM286" s="11">
        <f t="shared" si="46"/>
        <v>0</v>
      </c>
      <c r="AN286" s="15" t="str">
        <f t="shared" si="47"/>
        <v/>
      </c>
      <c r="AO286" s="15"/>
      <c r="AP286" s="16"/>
      <c r="AQ286" s="21"/>
      <c r="BC286" s="60">
        <f t="shared" si="41"/>
        <v>0</v>
      </c>
      <c r="BJ286" s="60">
        <f t="shared" si="48"/>
        <v>0</v>
      </c>
    </row>
    <row r="287" spans="1:62" s="17" customFormat="1" x14ac:dyDescent="0.3">
      <c r="A287" s="23">
        <v>285</v>
      </c>
      <c r="B287" s="7"/>
      <c r="C287" s="14"/>
      <c r="D287" s="14"/>
      <c r="E287" s="11"/>
      <c r="F287" s="14"/>
      <c r="G287" s="14"/>
      <c r="H287" s="11"/>
      <c r="I287" s="7"/>
      <c r="J287" s="14"/>
      <c r="K287" s="11"/>
      <c r="L287" s="7">
        <v>283</v>
      </c>
      <c r="M287" s="14"/>
      <c r="N287" s="11"/>
      <c r="O287" s="7">
        <v>283</v>
      </c>
      <c r="P287" s="14"/>
      <c r="Q287" s="11"/>
      <c r="R287" s="7">
        <v>283</v>
      </c>
      <c r="S287" s="14"/>
      <c r="T287" s="11"/>
      <c r="U287" s="14"/>
      <c r="V287" s="14"/>
      <c r="W287" s="11"/>
      <c r="X287" s="14"/>
      <c r="Y287" s="14"/>
      <c r="Z287" s="11"/>
      <c r="AA287" s="14"/>
      <c r="AB287" s="14"/>
      <c r="AC287" s="11"/>
      <c r="AD287" s="14"/>
      <c r="AE287" s="14"/>
      <c r="AF287" s="11" t="str">
        <f t="shared" si="42"/>
        <v/>
      </c>
      <c r="AG287" s="14"/>
      <c r="AH287" s="14"/>
      <c r="AI287" s="11" t="str">
        <f t="shared" si="43"/>
        <v/>
      </c>
      <c r="AJ287" s="14"/>
      <c r="AK287" s="11" t="str">
        <f t="shared" si="44"/>
        <v/>
      </c>
      <c r="AL287" s="11" t="str">
        <f t="shared" si="45"/>
        <v/>
      </c>
      <c r="AM287" s="11">
        <f t="shared" si="46"/>
        <v>0</v>
      </c>
      <c r="AN287" s="15" t="str">
        <f t="shared" si="47"/>
        <v/>
      </c>
      <c r="AO287" s="15"/>
      <c r="AP287" s="16"/>
      <c r="AQ287" s="21"/>
      <c r="BC287" s="60">
        <f t="shared" si="41"/>
        <v>0</v>
      </c>
      <c r="BJ287" s="60">
        <f t="shared" si="48"/>
        <v>0</v>
      </c>
    </row>
    <row r="288" spans="1:62" s="17" customFormat="1" x14ac:dyDescent="0.3">
      <c r="A288" s="23">
        <v>286</v>
      </c>
      <c r="B288" s="7"/>
      <c r="C288" s="14"/>
      <c r="D288" s="14"/>
      <c r="E288" s="11"/>
      <c r="F288" s="14"/>
      <c r="G288" s="14"/>
      <c r="H288" s="11"/>
      <c r="I288" s="7"/>
      <c r="J288" s="14"/>
      <c r="K288" s="11"/>
      <c r="L288" s="7">
        <v>284</v>
      </c>
      <c r="M288" s="14"/>
      <c r="N288" s="11"/>
      <c r="O288" s="7">
        <v>284</v>
      </c>
      <c r="P288" s="14"/>
      <c r="Q288" s="11"/>
      <c r="R288" s="7">
        <v>284</v>
      </c>
      <c r="S288" s="14"/>
      <c r="T288" s="11"/>
      <c r="U288" s="14"/>
      <c r="V288" s="14"/>
      <c r="W288" s="11"/>
      <c r="X288" s="14"/>
      <c r="Y288" s="14"/>
      <c r="Z288" s="11"/>
      <c r="AA288" s="14"/>
      <c r="AB288" s="14"/>
      <c r="AC288" s="11"/>
      <c r="AD288" s="14"/>
      <c r="AE288" s="14"/>
      <c r="AF288" s="11" t="str">
        <f t="shared" si="42"/>
        <v/>
      </c>
      <c r="AG288" s="14"/>
      <c r="AH288" s="14"/>
      <c r="AI288" s="11" t="str">
        <f t="shared" si="43"/>
        <v/>
      </c>
      <c r="AJ288" s="14"/>
      <c r="AK288" s="11" t="str">
        <f t="shared" si="44"/>
        <v/>
      </c>
      <c r="AL288" s="11" t="str">
        <f t="shared" si="45"/>
        <v/>
      </c>
      <c r="AM288" s="11">
        <f t="shared" si="46"/>
        <v>0</v>
      </c>
      <c r="AN288" s="15" t="str">
        <f t="shared" si="47"/>
        <v/>
      </c>
      <c r="AO288" s="15"/>
      <c r="AP288" s="16"/>
      <c r="AQ288" s="21"/>
      <c r="BC288" s="60">
        <f t="shared" si="41"/>
        <v>0</v>
      </c>
      <c r="BJ288" s="60">
        <f t="shared" si="48"/>
        <v>0</v>
      </c>
    </row>
    <row r="289" spans="1:62" s="17" customFormat="1" x14ac:dyDescent="0.3">
      <c r="A289" s="23">
        <v>287</v>
      </c>
      <c r="B289" s="7"/>
      <c r="C289" s="14"/>
      <c r="D289" s="14"/>
      <c r="E289" s="11"/>
      <c r="F289" s="14"/>
      <c r="G289" s="14"/>
      <c r="H289" s="11"/>
      <c r="I289" s="7"/>
      <c r="J289" s="14"/>
      <c r="K289" s="11"/>
      <c r="L289" s="7">
        <v>285</v>
      </c>
      <c r="M289" s="14"/>
      <c r="N289" s="11"/>
      <c r="O289" s="7">
        <v>285</v>
      </c>
      <c r="P289" s="14"/>
      <c r="Q289" s="11"/>
      <c r="R289" s="7">
        <v>285</v>
      </c>
      <c r="S289" s="14"/>
      <c r="T289" s="11"/>
      <c r="U289" s="14"/>
      <c r="V289" s="14"/>
      <c r="W289" s="11"/>
      <c r="X289" s="14"/>
      <c r="Y289" s="14"/>
      <c r="Z289" s="11"/>
      <c r="AA289" s="14"/>
      <c r="AB289" s="14"/>
      <c r="AC289" s="11"/>
      <c r="AD289" s="14"/>
      <c r="AE289" s="14"/>
      <c r="AF289" s="11" t="str">
        <f t="shared" si="42"/>
        <v/>
      </c>
      <c r="AG289" s="14"/>
      <c r="AH289" s="14"/>
      <c r="AI289" s="11" t="str">
        <f t="shared" si="43"/>
        <v/>
      </c>
      <c r="AJ289" s="14"/>
      <c r="AK289" s="11" t="str">
        <f t="shared" si="44"/>
        <v/>
      </c>
      <c r="AL289" s="11" t="str">
        <f t="shared" si="45"/>
        <v/>
      </c>
      <c r="AM289" s="11">
        <f t="shared" si="46"/>
        <v>0</v>
      </c>
      <c r="AN289" s="15" t="str">
        <f t="shared" si="47"/>
        <v/>
      </c>
      <c r="AO289" s="15"/>
      <c r="AP289" s="16"/>
      <c r="AQ289" s="21"/>
      <c r="BC289" s="60">
        <f t="shared" si="41"/>
        <v>0</v>
      </c>
      <c r="BJ289" s="60">
        <f t="shared" si="48"/>
        <v>0</v>
      </c>
    </row>
    <row r="290" spans="1:62" s="17" customFormat="1" x14ac:dyDescent="0.3">
      <c r="A290" s="23">
        <v>288</v>
      </c>
      <c r="B290" s="7"/>
      <c r="C290" s="14"/>
      <c r="D290" s="14"/>
      <c r="E290" s="11"/>
      <c r="F290" s="14"/>
      <c r="G290" s="14"/>
      <c r="H290" s="11"/>
      <c r="I290" s="7"/>
      <c r="J290" s="14"/>
      <c r="K290" s="11"/>
      <c r="L290" s="7">
        <v>286</v>
      </c>
      <c r="M290" s="14"/>
      <c r="N290" s="11"/>
      <c r="O290" s="7">
        <v>286</v>
      </c>
      <c r="P290" s="14"/>
      <c r="Q290" s="11"/>
      <c r="R290" s="7">
        <v>286</v>
      </c>
      <c r="S290" s="14"/>
      <c r="T290" s="11"/>
      <c r="U290" s="14"/>
      <c r="V290" s="14"/>
      <c r="W290" s="11"/>
      <c r="X290" s="14"/>
      <c r="Y290" s="14"/>
      <c r="Z290" s="11"/>
      <c r="AA290" s="14"/>
      <c r="AB290" s="14"/>
      <c r="AC290" s="11"/>
      <c r="AD290" s="14"/>
      <c r="AE290" s="14"/>
      <c r="AF290" s="11" t="str">
        <f t="shared" si="42"/>
        <v/>
      </c>
      <c r="AG290" s="14"/>
      <c r="AH290" s="14"/>
      <c r="AI290" s="11" t="str">
        <f t="shared" si="43"/>
        <v/>
      </c>
      <c r="AJ290" s="14"/>
      <c r="AK290" s="11" t="str">
        <f t="shared" si="44"/>
        <v/>
      </c>
      <c r="AL290" s="11" t="str">
        <f t="shared" si="45"/>
        <v/>
      </c>
      <c r="AM290" s="11">
        <f t="shared" si="46"/>
        <v>0</v>
      </c>
      <c r="AN290" s="15" t="str">
        <f t="shared" si="47"/>
        <v/>
      </c>
      <c r="AO290" s="15"/>
      <c r="AP290" s="16"/>
      <c r="AQ290" s="21"/>
      <c r="BC290" s="60">
        <f t="shared" si="41"/>
        <v>0</v>
      </c>
      <c r="BJ290" s="60">
        <f t="shared" si="48"/>
        <v>0</v>
      </c>
    </row>
    <row r="291" spans="1:62" s="17" customFormat="1" x14ac:dyDescent="0.3">
      <c r="A291" s="23">
        <v>289</v>
      </c>
      <c r="B291" s="7"/>
      <c r="C291" s="14"/>
      <c r="D291" s="14"/>
      <c r="E291" s="11"/>
      <c r="F291" s="14"/>
      <c r="G291" s="14"/>
      <c r="H291" s="11"/>
      <c r="I291" s="7"/>
      <c r="J291" s="14"/>
      <c r="K291" s="11"/>
      <c r="L291" s="7">
        <v>287</v>
      </c>
      <c r="M291" s="14"/>
      <c r="N291" s="11"/>
      <c r="O291" s="7">
        <v>287</v>
      </c>
      <c r="P291" s="14"/>
      <c r="Q291" s="11"/>
      <c r="R291" s="7">
        <v>287</v>
      </c>
      <c r="S291" s="14"/>
      <c r="T291" s="11"/>
      <c r="U291" s="14"/>
      <c r="V291" s="14"/>
      <c r="W291" s="11"/>
      <c r="X291" s="14"/>
      <c r="Y291" s="14"/>
      <c r="Z291" s="11"/>
      <c r="AA291" s="14"/>
      <c r="AB291" s="14"/>
      <c r="AC291" s="11"/>
      <c r="AD291" s="14"/>
      <c r="AE291" s="14"/>
      <c r="AF291" s="11" t="str">
        <f t="shared" si="42"/>
        <v/>
      </c>
      <c r="AG291" s="14"/>
      <c r="AH291" s="14"/>
      <c r="AI291" s="11" t="str">
        <f t="shared" si="43"/>
        <v/>
      </c>
      <c r="AJ291" s="14"/>
      <c r="AK291" s="11" t="str">
        <f t="shared" si="44"/>
        <v/>
      </c>
      <c r="AL291" s="11" t="str">
        <f t="shared" si="45"/>
        <v/>
      </c>
      <c r="AM291" s="11">
        <f t="shared" si="46"/>
        <v>0</v>
      </c>
      <c r="AN291" s="15" t="str">
        <f t="shared" si="47"/>
        <v/>
      </c>
      <c r="AO291" s="15"/>
      <c r="AP291" s="16"/>
      <c r="AQ291" s="21"/>
      <c r="BC291" s="60">
        <f t="shared" si="41"/>
        <v>0</v>
      </c>
      <c r="BJ291" s="60">
        <f t="shared" si="48"/>
        <v>0</v>
      </c>
    </row>
    <row r="292" spans="1:62" s="17" customFormat="1" x14ac:dyDescent="0.3">
      <c r="A292" s="23">
        <v>290</v>
      </c>
      <c r="B292" s="7"/>
      <c r="C292" s="14"/>
      <c r="D292" s="14"/>
      <c r="E292" s="11"/>
      <c r="F292" s="14"/>
      <c r="G292" s="14"/>
      <c r="H292" s="11"/>
      <c r="I292" s="7"/>
      <c r="J292" s="14"/>
      <c r="K292" s="11"/>
      <c r="L292" s="7">
        <v>288</v>
      </c>
      <c r="M292" s="14"/>
      <c r="N292" s="11"/>
      <c r="O292" s="7">
        <v>288</v>
      </c>
      <c r="P292" s="14"/>
      <c r="Q292" s="11"/>
      <c r="R292" s="7">
        <v>288</v>
      </c>
      <c r="S292" s="14"/>
      <c r="T292" s="11"/>
      <c r="U292" s="14"/>
      <c r="V292" s="14"/>
      <c r="W292" s="11"/>
      <c r="X292" s="14"/>
      <c r="Y292" s="14"/>
      <c r="Z292" s="11"/>
      <c r="AA292" s="14"/>
      <c r="AB292" s="14"/>
      <c r="AC292" s="11"/>
      <c r="AD292" s="14"/>
      <c r="AE292" s="14"/>
      <c r="AF292" s="11" t="str">
        <f t="shared" si="42"/>
        <v/>
      </c>
      <c r="AG292" s="14"/>
      <c r="AH292" s="14"/>
      <c r="AI292" s="11" t="str">
        <f t="shared" si="43"/>
        <v/>
      </c>
      <c r="AJ292" s="14"/>
      <c r="AK292" s="11" t="str">
        <f t="shared" si="44"/>
        <v/>
      </c>
      <c r="AL292" s="11" t="str">
        <f t="shared" si="45"/>
        <v/>
      </c>
      <c r="AM292" s="11">
        <f t="shared" si="46"/>
        <v>0</v>
      </c>
      <c r="AN292" s="15" t="str">
        <f t="shared" si="47"/>
        <v/>
      </c>
      <c r="AO292" s="15"/>
      <c r="AP292" s="16"/>
      <c r="AQ292" s="21"/>
      <c r="BC292" s="60">
        <f t="shared" si="41"/>
        <v>0</v>
      </c>
      <c r="BJ292" s="60">
        <f t="shared" si="48"/>
        <v>0</v>
      </c>
    </row>
    <row r="293" spans="1:62" s="17" customFormat="1" x14ac:dyDescent="0.3">
      <c r="A293" s="23">
        <v>291</v>
      </c>
      <c r="B293" s="7"/>
      <c r="C293" s="14"/>
      <c r="D293" s="14"/>
      <c r="E293" s="11"/>
      <c r="F293" s="14"/>
      <c r="G293" s="14"/>
      <c r="H293" s="11"/>
      <c r="I293" s="7"/>
      <c r="J293" s="14"/>
      <c r="K293" s="11"/>
      <c r="L293" s="7">
        <v>289</v>
      </c>
      <c r="M293" s="14"/>
      <c r="N293" s="11"/>
      <c r="O293" s="7">
        <v>289</v>
      </c>
      <c r="P293" s="14"/>
      <c r="Q293" s="11"/>
      <c r="R293" s="7">
        <v>289</v>
      </c>
      <c r="S293" s="14"/>
      <c r="T293" s="11"/>
      <c r="U293" s="14"/>
      <c r="V293" s="14"/>
      <c r="W293" s="11"/>
      <c r="X293" s="14"/>
      <c r="Y293" s="14"/>
      <c r="Z293" s="11"/>
      <c r="AA293" s="14"/>
      <c r="AB293" s="14"/>
      <c r="AC293" s="11"/>
      <c r="AD293" s="14"/>
      <c r="AE293" s="14"/>
      <c r="AF293" s="11" t="str">
        <f t="shared" si="42"/>
        <v/>
      </c>
      <c r="AG293" s="14"/>
      <c r="AH293" s="14"/>
      <c r="AI293" s="11" t="str">
        <f t="shared" si="43"/>
        <v/>
      </c>
      <c r="AJ293" s="14"/>
      <c r="AK293" s="11" t="str">
        <f t="shared" si="44"/>
        <v/>
      </c>
      <c r="AL293" s="11" t="str">
        <f t="shared" si="45"/>
        <v/>
      </c>
      <c r="AM293" s="11">
        <f t="shared" si="46"/>
        <v>0</v>
      </c>
      <c r="AN293" s="15" t="str">
        <f t="shared" si="47"/>
        <v/>
      </c>
      <c r="AO293" s="15"/>
      <c r="AP293" s="16"/>
      <c r="AQ293" s="21"/>
      <c r="BC293" s="60">
        <f t="shared" si="41"/>
        <v>0</v>
      </c>
      <c r="BJ293" s="60">
        <f t="shared" si="48"/>
        <v>0</v>
      </c>
    </row>
    <row r="294" spans="1:62" s="17" customFormat="1" x14ac:dyDescent="0.3">
      <c r="A294" s="23">
        <v>292</v>
      </c>
      <c r="B294" s="7"/>
      <c r="C294" s="14"/>
      <c r="D294" s="14"/>
      <c r="E294" s="11"/>
      <c r="F294" s="14"/>
      <c r="G294" s="14"/>
      <c r="H294" s="11"/>
      <c r="I294" s="7"/>
      <c r="J294" s="14"/>
      <c r="K294" s="11"/>
      <c r="L294" s="7">
        <v>290</v>
      </c>
      <c r="M294" s="14"/>
      <c r="N294" s="11"/>
      <c r="O294" s="7">
        <v>290</v>
      </c>
      <c r="P294" s="14"/>
      <c r="Q294" s="11"/>
      <c r="R294" s="7">
        <v>290</v>
      </c>
      <c r="S294" s="14"/>
      <c r="T294" s="11"/>
      <c r="U294" s="14"/>
      <c r="V294" s="14"/>
      <c r="W294" s="11"/>
      <c r="X294" s="14"/>
      <c r="Y294" s="14"/>
      <c r="Z294" s="11"/>
      <c r="AA294" s="14"/>
      <c r="AB294" s="14"/>
      <c r="AC294" s="11"/>
      <c r="AD294" s="14"/>
      <c r="AE294" s="14"/>
      <c r="AF294" s="11" t="str">
        <f t="shared" si="42"/>
        <v/>
      </c>
      <c r="AG294" s="14"/>
      <c r="AH294" s="14"/>
      <c r="AI294" s="11" t="str">
        <f t="shared" si="43"/>
        <v/>
      </c>
      <c r="AJ294" s="14"/>
      <c r="AK294" s="11" t="str">
        <f t="shared" si="44"/>
        <v/>
      </c>
      <c r="AL294" s="11" t="str">
        <f t="shared" si="45"/>
        <v/>
      </c>
      <c r="AM294" s="11">
        <f t="shared" si="46"/>
        <v>0</v>
      </c>
      <c r="AN294" s="15" t="str">
        <f t="shared" si="47"/>
        <v/>
      </c>
      <c r="AO294" s="15"/>
      <c r="AP294" s="16"/>
      <c r="AQ294" s="21"/>
      <c r="BC294" s="60">
        <f t="shared" si="41"/>
        <v>0</v>
      </c>
      <c r="BJ294" s="60">
        <f t="shared" si="48"/>
        <v>0</v>
      </c>
    </row>
    <row r="295" spans="1:62" s="17" customFormat="1" x14ac:dyDescent="0.3">
      <c r="A295" s="23">
        <v>293</v>
      </c>
      <c r="B295" s="7"/>
      <c r="C295" s="14"/>
      <c r="D295" s="14"/>
      <c r="E295" s="11"/>
      <c r="F295" s="14"/>
      <c r="G295" s="14"/>
      <c r="H295" s="11"/>
      <c r="I295" s="7"/>
      <c r="J295" s="14"/>
      <c r="K295" s="11"/>
      <c r="L295" s="7">
        <v>291</v>
      </c>
      <c r="M295" s="14"/>
      <c r="N295" s="11"/>
      <c r="O295" s="7">
        <v>291</v>
      </c>
      <c r="P295" s="14"/>
      <c r="Q295" s="11"/>
      <c r="R295" s="7">
        <v>291</v>
      </c>
      <c r="S295" s="14"/>
      <c r="T295" s="11"/>
      <c r="U295" s="14"/>
      <c r="V295" s="14"/>
      <c r="W295" s="11"/>
      <c r="X295" s="14"/>
      <c r="Y295" s="14"/>
      <c r="Z295" s="11"/>
      <c r="AA295" s="14"/>
      <c r="AB295" s="14"/>
      <c r="AC295" s="11"/>
      <c r="AD295" s="14"/>
      <c r="AE295" s="14"/>
      <c r="AF295" s="11" t="str">
        <f t="shared" si="42"/>
        <v/>
      </c>
      <c r="AG295" s="14"/>
      <c r="AH295" s="14"/>
      <c r="AI295" s="11" t="str">
        <f t="shared" si="43"/>
        <v/>
      </c>
      <c r="AJ295" s="14"/>
      <c r="AK295" s="11" t="str">
        <f t="shared" si="44"/>
        <v/>
      </c>
      <c r="AL295" s="11" t="str">
        <f t="shared" si="45"/>
        <v/>
      </c>
      <c r="AM295" s="11">
        <f t="shared" si="46"/>
        <v>0</v>
      </c>
      <c r="AN295" s="15" t="str">
        <f t="shared" si="47"/>
        <v/>
      </c>
      <c r="AO295" s="15"/>
      <c r="AP295" s="16"/>
      <c r="AQ295" s="21"/>
      <c r="BC295" s="60">
        <f t="shared" si="41"/>
        <v>0</v>
      </c>
      <c r="BJ295" s="60">
        <f t="shared" si="48"/>
        <v>0</v>
      </c>
    </row>
    <row r="296" spans="1:62" s="17" customFormat="1" x14ac:dyDescent="0.3">
      <c r="A296" s="23">
        <v>294</v>
      </c>
      <c r="B296" s="7"/>
      <c r="C296" s="14"/>
      <c r="D296" s="14"/>
      <c r="E296" s="11"/>
      <c r="F296" s="14"/>
      <c r="G296" s="14"/>
      <c r="H296" s="11"/>
      <c r="I296" s="7"/>
      <c r="J296" s="14"/>
      <c r="K296" s="11"/>
      <c r="L296" s="7">
        <v>292</v>
      </c>
      <c r="M296" s="14"/>
      <c r="N296" s="11"/>
      <c r="O296" s="7">
        <v>292</v>
      </c>
      <c r="P296" s="14"/>
      <c r="Q296" s="11"/>
      <c r="R296" s="7">
        <v>292</v>
      </c>
      <c r="S296" s="14"/>
      <c r="T296" s="11"/>
      <c r="U296" s="14"/>
      <c r="V296" s="14"/>
      <c r="W296" s="11"/>
      <c r="X296" s="14"/>
      <c r="Y296" s="14"/>
      <c r="Z296" s="11"/>
      <c r="AA296" s="14"/>
      <c r="AB296" s="14"/>
      <c r="AC296" s="11"/>
      <c r="AD296" s="14"/>
      <c r="AE296" s="14"/>
      <c r="AF296" s="11" t="str">
        <f t="shared" si="42"/>
        <v/>
      </c>
      <c r="AG296" s="14"/>
      <c r="AH296" s="14"/>
      <c r="AI296" s="11" t="str">
        <f t="shared" si="43"/>
        <v/>
      </c>
      <c r="AJ296" s="14"/>
      <c r="AK296" s="11" t="str">
        <f t="shared" si="44"/>
        <v/>
      </c>
      <c r="AL296" s="11" t="str">
        <f t="shared" si="45"/>
        <v/>
      </c>
      <c r="AM296" s="11">
        <f t="shared" si="46"/>
        <v>0</v>
      </c>
      <c r="AN296" s="15" t="str">
        <f t="shared" si="47"/>
        <v/>
      </c>
      <c r="AO296" s="15"/>
      <c r="AP296" s="16"/>
      <c r="AQ296" s="21"/>
      <c r="BC296" s="60">
        <f t="shared" si="41"/>
        <v>0</v>
      </c>
      <c r="BJ296" s="60">
        <f t="shared" si="48"/>
        <v>0</v>
      </c>
    </row>
    <row r="297" spans="1:62" s="17" customFormat="1" x14ac:dyDescent="0.3">
      <c r="A297" s="23">
        <v>295</v>
      </c>
      <c r="B297" s="7"/>
      <c r="C297" s="14"/>
      <c r="D297" s="14"/>
      <c r="E297" s="11"/>
      <c r="F297" s="14"/>
      <c r="G297" s="14"/>
      <c r="H297" s="11"/>
      <c r="I297" s="7"/>
      <c r="J297" s="14"/>
      <c r="K297" s="11"/>
      <c r="L297" s="7">
        <v>293</v>
      </c>
      <c r="M297" s="14"/>
      <c r="N297" s="11"/>
      <c r="O297" s="7">
        <v>293</v>
      </c>
      <c r="P297" s="14"/>
      <c r="Q297" s="11"/>
      <c r="R297" s="7">
        <v>293</v>
      </c>
      <c r="S297" s="14"/>
      <c r="T297" s="11"/>
      <c r="U297" s="14"/>
      <c r="V297" s="14"/>
      <c r="W297" s="11"/>
      <c r="X297" s="14"/>
      <c r="Y297" s="14"/>
      <c r="Z297" s="11"/>
      <c r="AA297" s="14"/>
      <c r="AB297" s="14"/>
      <c r="AC297" s="11"/>
      <c r="AD297" s="14"/>
      <c r="AE297" s="14"/>
      <c r="AF297" s="11" t="str">
        <f t="shared" si="42"/>
        <v/>
      </c>
      <c r="AG297" s="14"/>
      <c r="AH297" s="14"/>
      <c r="AI297" s="11" t="str">
        <f t="shared" si="43"/>
        <v/>
      </c>
      <c r="AJ297" s="14"/>
      <c r="AK297" s="11" t="str">
        <f t="shared" si="44"/>
        <v/>
      </c>
      <c r="AL297" s="11" t="str">
        <f t="shared" si="45"/>
        <v/>
      </c>
      <c r="AM297" s="11">
        <f t="shared" si="46"/>
        <v>0</v>
      </c>
      <c r="AN297" s="15" t="str">
        <f t="shared" si="47"/>
        <v/>
      </c>
      <c r="AO297" s="15"/>
      <c r="AP297" s="16"/>
      <c r="AQ297" s="21"/>
      <c r="BC297" s="60">
        <f t="shared" si="41"/>
        <v>0</v>
      </c>
      <c r="BJ297" s="60">
        <f t="shared" si="48"/>
        <v>0</v>
      </c>
    </row>
    <row r="298" spans="1:62" s="17" customFormat="1" x14ac:dyDescent="0.3">
      <c r="A298" s="23">
        <v>296</v>
      </c>
      <c r="B298" s="7"/>
      <c r="C298" s="14"/>
      <c r="D298" s="14"/>
      <c r="E298" s="11"/>
      <c r="F298" s="14"/>
      <c r="G298" s="14"/>
      <c r="H298" s="11"/>
      <c r="I298" s="7"/>
      <c r="J298" s="14"/>
      <c r="K298" s="11"/>
      <c r="L298" s="7">
        <v>294</v>
      </c>
      <c r="M298" s="14"/>
      <c r="N298" s="11"/>
      <c r="O298" s="7">
        <v>294</v>
      </c>
      <c r="P298" s="14"/>
      <c r="Q298" s="11"/>
      <c r="R298" s="7">
        <v>294</v>
      </c>
      <c r="S298" s="14"/>
      <c r="T298" s="11"/>
      <c r="U298" s="14"/>
      <c r="V298" s="14"/>
      <c r="W298" s="11"/>
      <c r="X298" s="14"/>
      <c r="Y298" s="14"/>
      <c r="Z298" s="11"/>
      <c r="AA298" s="14"/>
      <c r="AB298" s="14"/>
      <c r="AC298" s="11"/>
      <c r="AD298" s="14"/>
      <c r="AE298" s="14"/>
      <c r="AF298" s="11" t="str">
        <f t="shared" si="42"/>
        <v/>
      </c>
      <c r="AG298" s="14"/>
      <c r="AH298" s="14"/>
      <c r="AI298" s="11" t="str">
        <f t="shared" si="43"/>
        <v/>
      </c>
      <c r="AJ298" s="14"/>
      <c r="AK298" s="11" t="str">
        <f t="shared" si="44"/>
        <v/>
      </c>
      <c r="AL298" s="11" t="str">
        <f t="shared" si="45"/>
        <v/>
      </c>
      <c r="AM298" s="11">
        <f t="shared" si="46"/>
        <v>0</v>
      </c>
      <c r="AN298" s="15" t="str">
        <f t="shared" si="47"/>
        <v/>
      </c>
      <c r="AO298" s="15"/>
      <c r="AP298" s="16"/>
      <c r="AQ298" s="21"/>
      <c r="BC298" s="60">
        <f t="shared" si="41"/>
        <v>0</v>
      </c>
      <c r="BJ298" s="60">
        <f t="shared" si="48"/>
        <v>0</v>
      </c>
    </row>
    <row r="299" spans="1:62" s="17" customFormat="1" x14ac:dyDescent="0.3">
      <c r="A299" s="23">
        <v>297</v>
      </c>
      <c r="B299" s="7"/>
      <c r="C299" s="14"/>
      <c r="D299" s="14"/>
      <c r="E299" s="11"/>
      <c r="F299" s="14"/>
      <c r="G299" s="14"/>
      <c r="H299" s="11"/>
      <c r="I299" s="7"/>
      <c r="J299" s="14"/>
      <c r="K299" s="11"/>
      <c r="L299" s="7">
        <v>295</v>
      </c>
      <c r="M299" s="14"/>
      <c r="N299" s="11"/>
      <c r="O299" s="7">
        <v>295</v>
      </c>
      <c r="P299" s="14"/>
      <c r="Q299" s="11"/>
      <c r="R299" s="7">
        <v>295</v>
      </c>
      <c r="S299" s="14"/>
      <c r="T299" s="11"/>
      <c r="U299" s="14"/>
      <c r="V299" s="14"/>
      <c r="W299" s="11"/>
      <c r="X299" s="14"/>
      <c r="Y299" s="14"/>
      <c r="Z299" s="11"/>
      <c r="AA299" s="14"/>
      <c r="AB299" s="14"/>
      <c r="AC299" s="11"/>
      <c r="AD299" s="14"/>
      <c r="AE299" s="14"/>
      <c r="AF299" s="11" t="str">
        <f t="shared" si="42"/>
        <v/>
      </c>
      <c r="AG299" s="14"/>
      <c r="AH299" s="14"/>
      <c r="AI299" s="11" t="str">
        <f t="shared" si="43"/>
        <v/>
      </c>
      <c r="AJ299" s="14"/>
      <c r="AK299" s="11" t="str">
        <f t="shared" si="44"/>
        <v/>
      </c>
      <c r="AL299" s="11" t="str">
        <f t="shared" si="45"/>
        <v/>
      </c>
      <c r="AM299" s="11">
        <f t="shared" si="46"/>
        <v>0</v>
      </c>
      <c r="AN299" s="15" t="str">
        <f t="shared" si="47"/>
        <v/>
      </c>
      <c r="AO299" s="15"/>
      <c r="AP299" s="16"/>
      <c r="AQ299" s="21"/>
      <c r="BC299" s="60">
        <f t="shared" si="41"/>
        <v>0</v>
      </c>
      <c r="BJ299" s="60">
        <f t="shared" si="48"/>
        <v>0</v>
      </c>
    </row>
    <row r="300" spans="1:62" s="17" customFormat="1" x14ac:dyDescent="0.3">
      <c r="A300" s="23">
        <v>298</v>
      </c>
      <c r="B300" s="7"/>
      <c r="C300" s="14"/>
      <c r="D300" s="14"/>
      <c r="E300" s="11"/>
      <c r="F300" s="14"/>
      <c r="G300" s="14"/>
      <c r="H300" s="11"/>
      <c r="I300" s="7"/>
      <c r="J300" s="14"/>
      <c r="K300" s="11"/>
      <c r="L300" s="7">
        <v>296</v>
      </c>
      <c r="M300" s="14"/>
      <c r="N300" s="11"/>
      <c r="O300" s="7">
        <v>296</v>
      </c>
      <c r="P300" s="14"/>
      <c r="Q300" s="11"/>
      <c r="R300" s="7">
        <v>296</v>
      </c>
      <c r="S300" s="14"/>
      <c r="T300" s="11"/>
      <c r="U300" s="14"/>
      <c r="V300" s="14"/>
      <c r="W300" s="11"/>
      <c r="X300" s="14"/>
      <c r="Y300" s="14"/>
      <c r="Z300" s="11"/>
      <c r="AA300" s="14"/>
      <c r="AB300" s="14"/>
      <c r="AC300" s="11"/>
      <c r="AD300" s="14"/>
      <c r="AE300" s="14"/>
      <c r="AF300" s="11" t="str">
        <f t="shared" si="42"/>
        <v/>
      </c>
      <c r="AG300" s="14"/>
      <c r="AH300" s="14"/>
      <c r="AI300" s="11" t="str">
        <f t="shared" si="43"/>
        <v/>
      </c>
      <c r="AJ300" s="14"/>
      <c r="AK300" s="11" t="str">
        <f t="shared" si="44"/>
        <v/>
      </c>
      <c r="AL300" s="11" t="str">
        <f t="shared" si="45"/>
        <v/>
      </c>
      <c r="AM300" s="11">
        <f t="shared" si="46"/>
        <v>0</v>
      </c>
      <c r="AN300" s="15" t="str">
        <f t="shared" si="47"/>
        <v/>
      </c>
      <c r="AO300" s="15"/>
      <c r="AP300" s="16"/>
      <c r="AQ300" s="21"/>
      <c r="BC300" s="60">
        <f t="shared" si="41"/>
        <v>0</v>
      </c>
      <c r="BJ300" s="60">
        <f t="shared" si="48"/>
        <v>0</v>
      </c>
    </row>
    <row r="301" spans="1:62" s="17" customFormat="1" x14ac:dyDescent="0.3">
      <c r="A301" s="23">
        <v>299</v>
      </c>
      <c r="B301" s="7"/>
      <c r="C301" s="14"/>
      <c r="D301" s="14"/>
      <c r="E301" s="11"/>
      <c r="F301" s="14"/>
      <c r="G301" s="14"/>
      <c r="H301" s="11"/>
      <c r="I301" s="7"/>
      <c r="J301" s="14"/>
      <c r="K301" s="11"/>
      <c r="L301" s="7">
        <v>297</v>
      </c>
      <c r="M301" s="14"/>
      <c r="N301" s="11"/>
      <c r="O301" s="7">
        <v>297</v>
      </c>
      <c r="P301" s="14"/>
      <c r="Q301" s="11"/>
      <c r="R301" s="7">
        <v>297</v>
      </c>
      <c r="S301" s="14"/>
      <c r="T301" s="11"/>
      <c r="U301" s="14"/>
      <c r="V301" s="14"/>
      <c r="W301" s="11"/>
      <c r="X301" s="14"/>
      <c r="Y301" s="14"/>
      <c r="Z301" s="11"/>
      <c r="AA301" s="14"/>
      <c r="AB301" s="14"/>
      <c r="AC301" s="11"/>
      <c r="AD301" s="14"/>
      <c r="AE301" s="14"/>
      <c r="AF301" s="11" t="str">
        <f t="shared" si="42"/>
        <v/>
      </c>
      <c r="AG301" s="14"/>
      <c r="AH301" s="14"/>
      <c r="AI301" s="11" t="str">
        <f t="shared" si="43"/>
        <v/>
      </c>
      <c r="AJ301" s="14"/>
      <c r="AK301" s="11" t="str">
        <f t="shared" si="44"/>
        <v/>
      </c>
      <c r="AL301" s="11" t="str">
        <f t="shared" si="45"/>
        <v/>
      </c>
      <c r="AM301" s="11">
        <f t="shared" si="46"/>
        <v>0</v>
      </c>
      <c r="AN301" s="15" t="str">
        <f t="shared" si="47"/>
        <v/>
      </c>
      <c r="AO301" s="15"/>
      <c r="AP301" s="16"/>
      <c r="AQ301" s="21"/>
      <c r="BC301" s="60">
        <f t="shared" si="41"/>
        <v>0</v>
      </c>
      <c r="BJ301" s="60">
        <f t="shared" si="48"/>
        <v>0</v>
      </c>
    </row>
    <row r="302" spans="1:62" s="19" customFormat="1" ht="15" thickBot="1" x14ac:dyDescent="0.35">
      <c r="A302" s="24">
        <v>300</v>
      </c>
      <c r="B302" s="25"/>
      <c r="C302" s="26"/>
      <c r="D302" s="26"/>
      <c r="E302" s="27"/>
      <c r="F302" s="26"/>
      <c r="G302" s="26"/>
      <c r="H302" s="27"/>
      <c r="I302" s="25"/>
      <c r="J302" s="26"/>
      <c r="K302" s="27"/>
      <c r="L302" s="25">
        <v>298</v>
      </c>
      <c r="M302" s="26"/>
      <c r="N302" s="27"/>
      <c r="O302" s="25">
        <v>298</v>
      </c>
      <c r="P302" s="26"/>
      <c r="Q302" s="27"/>
      <c r="R302" s="25">
        <v>298</v>
      </c>
      <c r="S302" s="26"/>
      <c r="T302" s="27"/>
      <c r="U302" s="26"/>
      <c r="V302" s="26"/>
      <c r="W302" s="27"/>
      <c r="X302" s="26"/>
      <c r="Y302" s="26"/>
      <c r="Z302" s="27"/>
      <c r="AA302" s="26"/>
      <c r="AB302" s="26"/>
      <c r="AC302" s="27"/>
      <c r="AD302" s="26"/>
      <c r="AE302" s="26"/>
      <c r="AF302" s="27" t="str">
        <f t="shared" si="42"/>
        <v/>
      </c>
      <c r="AG302" s="26"/>
      <c r="AH302" s="26"/>
      <c r="AI302" s="27" t="str">
        <f t="shared" si="43"/>
        <v/>
      </c>
      <c r="AJ302" s="26"/>
      <c r="AK302" s="27" t="str">
        <f t="shared" si="44"/>
        <v/>
      </c>
      <c r="AL302" s="27" t="str">
        <f t="shared" si="45"/>
        <v/>
      </c>
      <c r="AM302" s="27">
        <f t="shared" si="46"/>
        <v>0</v>
      </c>
      <c r="AN302" s="28" t="str">
        <f t="shared" si="47"/>
        <v/>
      </c>
      <c r="AO302" s="28"/>
      <c r="AP302" s="29"/>
      <c r="AQ302" s="30"/>
      <c r="BC302" s="60">
        <f t="shared" si="41"/>
        <v>0</v>
      </c>
      <c r="BJ302" s="60">
        <f t="shared" si="48"/>
        <v>0</v>
      </c>
    </row>
    <row r="303" spans="1:62" x14ac:dyDescent="0.3">
      <c r="I303" s="20"/>
    </row>
  </sheetData>
  <autoFilter ref="A4:BF302" xr:uid="{00000000-0009-0000-0000-000001000000}"/>
  <mergeCells count="27">
    <mergeCell ref="BD3:BF3"/>
    <mergeCell ref="AQ3:AQ4"/>
    <mergeCell ref="AR3:AT3"/>
    <mergeCell ref="AU3:AW3"/>
    <mergeCell ref="AX3:AZ3"/>
    <mergeCell ref="BA3:BC3"/>
    <mergeCell ref="AL3:AL4"/>
    <mergeCell ref="AM3:AM4"/>
    <mergeCell ref="AN3:AN4"/>
    <mergeCell ref="AO3:AO4"/>
    <mergeCell ref="AP3:AP4"/>
    <mergeCell ref="BG3:BJ3"/>
    <mergeCell ref="A3:A4"/>
    <mergeCell ref="B3:B4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J4"/>
    <mergeCell ref="AK3:AK4"/>
  </mergeCells>
  <dataValidations disablePrompts="1" count="1">
    <dataValidation type="list" allowBlank="1" error="Escolha Sim ou Não." prompt="Deixe em branco (=incluir) ou marque 'Não' para excluir a linha dos cálculos." sqref="AQ5:AQ302" xr:uid="{00000000-0002-0000-0100-000000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Coleta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NASCIMENTO Daniel</cp:lastModifiedBy>
  <cp:revision>2</cp:revision>
  <dcterms:created xsi:type="dcterms:W3CDTF">2026-09-04T17:17:21Z</dcterms:created>
  <dcterms:modified xsi:type="dcterms:W3CDTF">2026-10-07T12:01:32Z</dcterms:modified>
  <dc:language>en-US</dc:language>
</cp:coreProperties>
</file>